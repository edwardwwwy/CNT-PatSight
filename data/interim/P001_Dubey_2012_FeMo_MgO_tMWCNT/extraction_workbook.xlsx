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e00f06fb0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_summary" sheetId="1" r:id="Re233a4288d7745b9"/>
    <x:sheet xmlns:r="http://schemas.openxmlformats.org/officeDocument/2006/relationships" name="source_run" sheetId="2" r:id="Rbd3fda4355e7481a"/>
    <x:sheet xmlns:r="http://schemas.openxmlformats.org/officeDocument/2006/relationships" name="catalyst_system" sheetId="3" r:id="R049c020e031f41ad"/>
    <x:sheet xmlns:r="http://schemas.openxmlformats.org/officeDocument/2006/relationships" name="reactor_process_gas" sheetId="4" r:id="Rb86e05c704e1438b"/>
    <x:sheet xmlns:r="http://schemas.openxmlformats.org/officeDocument/2006/relationships" name="yield_quality" sheetId="5" r:id="R829fb091b7ef4cfc"/>
    <x:sheet xmlns:r="http://schemas.openxmlformats.org/officeDocument/2006/relationships" name="cost_scale_review" sheetId="6" r:id="Rc05ebf1fb602417a"/>
    <x:sheet xmlns:r="http://schemas.openxmlformats.org/officeDocument/2006/relationships" name="evidence_index" sheetId="7" r:id="R20ec5227d9e7406f"/>
    <x:sheet xmlns:r="http://schemas.openxmlformats.org/officeDocument/2006/relationships" name="source_notes" sheetId="8" r:id="Recb3badd9d86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64748B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DDF3EF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a35d2498241fa" /><Relationship Type="http://schemas.openxmlformats.org/officeDocument/2006/relationships/theme" Target="/xl/theme/theme1.xml" Id="R154f6055a2184daa" /><Relationship Type="http://schemas.openxmlformats.org/officeDocument/2006/relationships/sharedStrings" Target="/xl/sharedStrings.xml" Id="Rc06cb2768fb74b26" /><Relationship Type="http://schemas.openxmlformats.org/officeDocument/2006/relationships/worksheet" Target="/xl/worksheets/sheet1.xml" Id="Re233a4288d7745b9" /><Relationship Type="http://schemas.openxmlformats.org/officeDocument/2006/relationships/worksheet" Target="/xl/worksheets/sheet2.xml" Id="Rbd3fda4355e7481a" /><Relationship Type="http://schemas.openxmlformats.org/officeDocument/2006/relationships/worksheet" Target="/xl/worksheets/sheet3.xml" Id="R049c020e031f41ad" /><Relationship Type="http://schemas.openxmlformats.org/officeDocument/2006/relationships/worksheet" Target="/xl/worksheets/sheet4.xml" Id="Rb86e05c704e1438b" /><Relationship Type="http://schemas.openxmlformats.org/officeDocument/2006/relationships/worksheet" Target="/xl/worksheets/sheet5.xml" Id="R829fb091b7ef4cfc" /><Relationship Type="http://schemas.openxmlformats.org/officeDocument/2006/relationships/worksheet" Target="/xl/worksheets/sheet6.xml" Id="Rc05ebf1fb602417a" /><Relationship Type="http://schemas.openxmlformats.org/officeDocument/2006/relationships/worksheet" Target="/xl/worksheets/sheet7.xml" Id="R20ec5227d9e7406f" /><Relationship Type="http://schemas.openxmlformats.org/officeDocument/2006/relationships/worksheet" Target="/xl/worksheets/sheet8.xml" Id="Recb3badd9d8645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c162547e2c4a65" /><Relationship Type="http://schemas.openxmlformats.org/officeDocument/2006/relationships/chart" Target="/xl/drawings/charts/chart2.xml" Id="R6eb93e0c795548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 yield by catalyst (% weight gain)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Product yield (%)</c:v>
          </c:tx>
          <c:cat>
            <c:strRef>
              <c:f>'review_summary'!$M$3:$M$5</c:f>
              <c:strCache>
                <c:ptCount val="0"/>
              </c:strCache>
            </c:strRef>
          </c:cat>
          <c:val>
            <c:numRef>
              <c:f>'review_summary'!$N$3:$N$5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TGA carbon content by catalyst (%)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TGA carbon (%)</c:v>
          </c:tx>
          <c:cat>
            <c:strRef>
              <c:f>'review_summary'!$M$9:$M$11</c:f>
              <c:strCache>
                <c:ptCount val="0"/>
              </c:strCache>
            </c:strRef>
          </c:cat>
          <c:val>
            <c:numRef>
              <c:f>'review_summary'!$N$9:$N$11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c162547e2c4a65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93e0c795548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unSampleTable" displayName="sourcerunSampleTable" ref="A1:X4" headerRowCount="1" totalsRowCount="0" totalsRowShown="0">
  <x:autoFilter ref="A1:X4"/>
  <x:tableColumns count="24">
    <x:tableColumn id="1" name="run_id"/>
    <x:tableColumn id="2" name="source_id"/>
    <x:tableColumn id="3" name="source_type"/>
    <x:tableColumn id="4" name="source_title"/>
    <x:tableColumn id="5" name="year"/>
    <x:tableColumn id="6" name="authors_or_assignee"/>
    <x:tableColumn id="7" name="doi_or_patent_no"/>
    <x:tableColumn id="8" name="source_link"/>
    <x:tableColumn id="9" name="source_database"/>
    <x:tableColumn id="10" name="source_section"/>
    <x:tableColumn id="11" name="data_type"/>
    <x:tableColumn id="12" name="run_label"/>
    <x:tableColumn id="13" name="target_track"/>
    <x:tableColumn id="14" name="catalyst_key"/>
    <x:tableColumn id="15" name="carbon_source_main"/>
    <x:tableColumn id="16" name="reactor_type_main"/>
    <x:tableColumn id="17" name="CNT_type_main"/>
    <x:tableColumn id="18" name="combo_key"/>
    <x:tableColumn id="19" name="relevance_class"/>
    <x:tableColumn id="20" name="relevance_score"/>
    <x:tableColumn id="21" name="extraction_status"/>
    <x:tableColumn id="22" name="extraction_confidence"/>
    <x:tableColumn id="23" name="run_summary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ystsystemSampleTable" displayName="catalystsystemSampleTable" ref="A1:AL4" headerRowCount="1" totalsRowCount="0" totalsRowShown="0">
  <x:autoFilter ref="A1:AL4"/>
  <x:tableColumns count="38">
    <x:tableColumn id="1" name="run_id"/>
    <x:tableColumn id="2" name="catalyst_id"/>
    <x:tableColumn id="3" name="catalyst_label"/>
    <x:tableColumn id="4" name="catalyst_key"/>
    <x:tableColumn id="5" name="active_metals"/>
    <x:tableColumn id="6" name="support_material"/>
    <x:tableColumn id="7" name="promoter"/>
    <x:tableColumn id="8" name="metal_ratio_original"/>
    <x:tableColumn id="9" name="metal_ratio_standardized"/>
    <x:tableColumn id="10" name="precursor_summary"/>
    <x:tableColumn id="11" name="preparation_method"/>
    <x:tableColumn id="12" name="acid_or_complexing_summary"/>
    <x:tableColumn id="13" name="acid_treatment_flag"/>
    <x:tableColumn id="14" name="acid_treatment_type"/>
    <x:tableColumn id="15" name="acid_treatment_purpose"/>
    <x:tableColumn id="16" name="complexing_agent"/>
    <x:tableColumn id="17" name="complexing_ratio_original"/>
    <x:tableColumn id="18" name="solution_pH"/>
    <x:tableColumn id="19" name="washing_condition"/>
    <x:tableColumn id="20" name="drying_condition"/>
    <x:tableColumn id="21" name="calcination_condition"/>
    <x:tableColumn id="22" name="reduction_condition"/>
    <x:tableColumn id="23" name="activation_summary"/>
    <x:tableColumn id="24" name="crushing_or_sieving_condition"/>
    <x:tableColumn id="25" name="catalyst_particle_size_nm"/>
    <x:tableColumn id="26" name="BET_surface_area_m2_g"/>
    <x:tableColumn id="27" name="pore_diameter_nm"/>
    <x:tableColumn id="28" name="pore_volume_cm3_g"/>
    <x:tableColumn id="29" name="phase_or_state_summary"/>
    <x:tableColumn id="30" name="dispersion_summary"/>
    <x:tableColumn id="31" name="expected_CNT_type_bias"/>
    <x:tableColumn id="32" name="catalyst_lifetime_or_reuse"/>
    <x:tableColumn id="33" name="deactivation_reason"/>
    <x:tableColumn id="34" name="catalyst_assessment"/>
    <x:tableColumn id="35" name="evidence_text"/>
    <x:tableColumn id="36" name="evidence_location"/>
    <x:tableColumn id="37" name="confidence"/>
    <x:tableColumn id="3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ctorprocessgasSampleTable" displayName="reactorprocessgasSampleTable" ref="A1:AU13" headerRowCount="1" totalsRowCount="0" totalsRowShown="0">
  <x:autoFilter ref="A1:AU13"/>
  <x:tableColumns count="47">
    <x:tableColumn id="1" name="run_id"/>
    <x:tableColumn id="2" name="process_stage_id"/>
    <x:tableColumn id="3" name="stage_order"/>
    <x:tableColumn id="4" name="stage_type"/>
    <x:tableColumn id="5" name="reactor_type"/>
    <x:tableColumn id="6" name="scale_level"/>
    <x:tableColumn id="7" name="reactor_material"/>
    <x:tableColumn id="8" name="reactor_size_summary"/>
    <x:tableColumn id="9" name="catalyst_loading_mass_g"/>
    <x:tableColumn id="10" name="catalyst_bed_position"/>
    <x:tableColumn id="11" name="temperature_sensor_position"/>
    <x:tableColumn id="12" name="start_temperature_C"/>
    <x:tableColumn id="13" name="temperature_setpoint_C"/>
    <x:tableColumn id="14" name="temperature_actual_C"/>
    <x:tableColumn id="15" name="temperature_range_reported_C"/>
    <x:tableColumn id="16" name="reported_suitable_temperature"/>
    <x:tableColumn id="17" name="reported_optimal_temperature"/>
    <x:tableColumn id="18" name="reported_failed_temperature"/>
    <x:tableColumn id="19" name="temperature_effect_summary"/>
    <x:tableColumn id="20" name="holding_time_min"/>
    <x:tableColumn id="21" name="heating_rate_C_min"/>
    <x:tableColumn id="22" name="cooling_condition"/>
    <x:tableColumn id="23" name="pressure_original"/>
    <x:tableColumn id="24" name="pressure_kPa"/>
    <x:tableColumn id="25" name="carbon_source"/>
    <x:tableColumn id="26" name="CH4_flow_original"/>
    <x:tableColumn id="27" name="CH4_flow_sccm"/>
    <x:tableColumn id="28" name="natural_gas_flow_original"/>
    <x:tableColumn id="29" name="natural_gas_flow_sccm"/>
    <x:tableColumn id="30" name="natural_gas_composition"/>
    <x:tableColumn id="31" name="H2_flow_original"/>
    <x:tableColumn id="32" name="H2_flow_sccm"/>
    <x:tableColumn id="33" name="N2_flow_original"/>
    <x:tableColumn id="34" name="N2_flow_sccm"/>
    <x:tableColumn id="35" name="Ar_flow_original"/>
    <x:tableColumn id="36" name="Ar_flow_sccm"/>
    <x:tableColumn id="37" name="other_gas_flow_original"/>
    <x:tableColumn id="38" name="other_gas_flow_sccm"/>
    <x:tableColumn id="39" name="total_flow_original"/>
    <x:tableColumn id="40" name="total_flow_sccm"/>
    <x:tableColumn id="41" name="gas_ratio_summary"/>
    <x:tableColumn id="42" name="CH4_volume_fraction_percent"/>
    <x:tableColumn id="43" name="GHSV_or_residence_time"/>
    <x:tableColumn id="44" name="process_note"/>
    <x:tableColumn id="45" name="evidence_text"/>
    <x:tableColumn id="46" name="evidence_location"/>
    <x:tableColumn id="47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yieldqualitySampleTable" displayName="yieldqualitySampleTable" ref="A1:BF4" headerRowCount="1" totalsRowCount="0" totalsRowShown="0">
  <x:autoFilter ref="A1:BF4"/>
  <x:tableColumns count="58">
    <x:tableColumn id="1" name="run_id"/>
    <x:tableColumn id="2" name="product_id"/>
    <x:tableColumn id="3" name="catalyst_mass_before_g"/>
    <x:tableColumn id="4" name="product_mass_raw_g"/>
    <x:tableColumn id="5" name="product_mass_after_purification_g"/>
    <x:tableColumn id="6" name="yield_original"/>
    <x:tableColumn id="7" name="yield_definition_original"/>
    <x:tableColumn id="8" name="yield_calculation_method"/>
    <x:tableColumn id="9" name="yield_value_standardized"/>
    <x:tableColumn id="10" name="yield_unit_standardized"/>
    <x:tableColumn id="11" name="yield_standardization_note"/>
    <x:tableColumn id="12" name="CNT_yield_per_catalyst_g_gcat"/>
    <x:tableColumn id="13" name="CNT_productivity_g_gcat_h"/>
    <x:tableColumn id="14" name="space_time_yield_kg_m3_h"/>
    <x:tableColumn id="15" name="methane_conversion_percent"/>
    <x:tableColumn id="16" name="carbon_efficiency_percent"/>
    <x:tableColumn id="17" name="carbon_conversion_to_solid_percent"/>
    <x:tableColumn id="18" name="CNT_selectivity_in_solid_carbon_percent"/>
    <x:tableColumn id="19" name="CNT_type_reported"/>
    <x:tableColumn id="20" name="CNT_type_confirmed"/>
    <x:tableColumn id="21" name="is_SWCNT"/>
    <x:tableColumn id="22" name="is_DWCNT"/>
    <x:tableColumn id="23" name="is_t_MWCNT"/>
    <x:tableColumn id="24" name="is_MWCNT"/>
    <x:tableColumn id="25" name="CNT_type_evidence"/>
    <x:tableColumn id="26" name="SWCNT_evidence_summary"/>
    <x:tableColumn id="27" name="RBM_peak_reported"/>
    <x:tableColumn id="28" name="outer_diameter_mean_nm"/>
    <x:tableColumn id="29" name="outer_diameter_range_nm"/>
    <x:tableColumn id="30" name="inner_diameter_mean_nm"/>
    <x:tableColumn id="31" name="inner_diameter_or_wall_number"/>
    <x:tableColumn id="32" name="wall_number_mean"/>
    <x:tableColumn id="33" name="length_summary"/>
    <x:tableColumn id="34" name="length_mean_um"/>
    <x:tableColumn id="35" name="aspect_ratio"/>
    <x:tableColumn id="36" name="morphology"/>
    <x:tableColumn id="37" name="alignment_or_array"/>
    <x:tableColumn id="38" name="Raman_ID_IG"/>
    <x:tableColumn id="39" name="Raman_IG_ID"/>
    <x:tableColumn id="40" name="Raman_laser_wavelength_nm"/>
    <x:tableColumn id="41" name="purity_wt_percent"/>
    <x:tableColumn id="42" name="ash_content_wt_percent"/>
    <x:tableColumn id="43" name="metal_residue_wt_percent"/>
    <x:tableColumn id="44" name="amorphous_carbon_level"/>
    <x:tableColumn id="45" name="BET_surface_area_product_m2_g"/>
    <x:tableColumn id="46" name="tap_density_g_cm3"/>
    <x:tableColumn id="47" name="bulk_density_g_cm3"/>
    <x:tableColumn id="48" name="conductivity"/>
    <x:tableColumn id="49" name="slurry_viscosity"/>
    <x:tableColumn id="50" name="characterization_methods"/>
    <x:tableColumn id="51" name="post_treatment_or_purification"/>
    <x:tableColumn id="52" name="purification_condition"/>
    <x:tableColumn id="53" name="application_related_properties"/>
    <x:tableColumn id="54" name="image_or_figure_ref"/>
    <x:tableColumn id="55" name="evidence_text"/>
    <x:tableColumn id="56" name="evidence_location"/>
    <x:tableColumn id="57" name="confidence"/>
    <x:tableColumn id="5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scalereviewSampleTable" displayName="costscalereviewSampleTable" ref="A1:AI4" headerRowCount="1" totalsRowCount="0" totalsRowShown="0">
  <x:autoFilter ref="A1:AI4"/>
  <x:tableColumns count="35">
    <x:tableColumn id="1" name="run_id"/>
    <x:tableColumn id="2" name="quantitative_cost_reported"/>
    <x:tableColumn id="3" name="methane_consumption_per_kg_CNT"/>
    <x:tableColumn id="4" name="natural_gas_consumption_per_kg_CNT"/>
    <x:tableColumn id="5" name="H2_consumption_per_kg_CNT"/>
    <x:tableColumn id="6" name="N2_or_Ar_consumption_per_kg_CNT"/>
    <x:tableColumn id="7" name="electricity_consumption_per_kg_CNT"/>
    <x:tableColumn id="8" name="catalyst_cost_signal"/>
    <x:tableColumn id="9" name="purification_cost_signal"/>
    <x:tableColumn id="10" name="waste_treatment_signal"/>
    <x:tableColumn id="11" name="total_variable_cost_per_kg_CNT"/>
    <x:tableColumn id="12" name="continuous_operation_time_h"/>
    <x:tableColumn id="13" name="catalyst_reuse_cycles"/>
    <x:tableColumn id="14" name="batch_success_rate_percent"/>
    <x:tableColumn id="15" name="batch_stability"/>
    <x:tableColumn id="16" name="scale_signal_reported"/>
    <x:tableColumn id="17" name="scale_level_claimed"/>
    <x:tableColumn id="18" name="scale_up_issue"/>
    <x:tableColumn id="19" name="safety_risk"/>
    <x:tableColumn id="20" name="emission_or_waste"/>
    <x:tableColumn id="21" name="contains_expensive_metal"/>
    <x:tableColumn id="22" name="needs_H2"/>
    <x:tableColumn id="23" name="needs_acid_washing"/>
    <x:tableColumn id="24" name="major_cost_driver"/>
    <x:tableColumn id="25" name="reported_best_condition_summary"/>
    <x:tableColumn id="26" name="reviewed_suitable_condition"/>
    <x:tableColumn id="27" name="reproduction_value"/>
    <x:tableColumn id="28" name="reproduction_priority"/>
    <x:tableColumn id="29" name="industrial_value_score"/>
    <x:tableColumn id="30" name="recommended_next_action"/>
    <x:tableColumn id="31" name="missing_critical_fields"/>
    <x:tableColumn id="32" name="review_note"/>
    <x:tableColumn id="33" name="evidence_text"/>
    <x:tableColumn id="34" name="evidence_location"/>
    <x:tableColumn id="35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dexTable" displayName="EvidenceIndexTable" ref="A1:G15" headerRowCount="1" totalsRowCount="0" totalsRowShown="0">
  <x:tableColumns count="7">
    <x:tableColumn id="1" name="scope"/>
    <x:tableColumn id="2" name="field"/>
    <x:tableColumn id="3" name="value"/>
    <x:tableColumn id="4" name="value_status"/>
    <x:tableColumn id="5" name="confidence"/>
    <x:tableColumn id="6" name="evidence_location"/>
    <x:tableColumn id="7" name="evidence_summ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NotesTable" displayName="SourceNotesTable" ref="A1:L16" headerRowCount="1" totalsRowCount="0" totalsRowShown="0">
  <x:tableColumns count="12">
    <x:tableColumn id="1" name="category"/>
    <x:tableColumn id="2" name="observation_id"/>
    <x:tableColumn id="3" name="source_id"/>
    <x:tableColumn id="4" name="related_run_id"/>
    <x:tableColumn id="5" name="observation_type"/>
    <x:tableColumn id="6" name="topic_tags"/>
    <x:tableColumn id="7" name="value_summary"/>
    <x:tableColumn id="8" name="original_text"/>
    <x:tableColumn id="9" name="evidence_location"/>
    <x:tableColumn id="10" name="why_valuable"/>
    <x:tableColumn id="11" name="confidence"/>
    <x:tableColumn id="12" name="promotion_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a7575b696841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d164d1e29d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50c5479591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9792cc388f45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bb20111ce4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c0e8ace93142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f2695bf21b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b6d0e304a43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2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3" t="str">
        <x:v>P001_Dubey_2012_FeMo_MgO_tMWCNT - v0.1 curated extraction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M2" t="str">
        <x:v>run</x:v>
      </x:c>
      <x:c r="N2" t="str">
        <x:v>Product yield (%)</x:v>
      </x:c>
    </x:row>
    <x:row r="3" ht="38" customHeight="1">
      <x:c r="A3" s="20" t="str">
        <x:v>文档判断</x:v>
      </x:c>
      <x:c r="B3" s="21" t="str">
        <x:v>formal_extract</x:v>
      </x:c>
      <x:c r="C3" s="21"/>
      <x:c r="D3" s="21"/>
      <x:c r="E3" s="21"/>
      <x:c r="F3" s="21"/>
      <x:c r="G3" s="21"/>
      <x:c r="H3" s="21"/>
      <x:c r="I3" s="21"/>
      <x:c r="J3" s="21"/>
      <x:c r="K3" s="21"/>
      <x:c r="M3" t="str">
        <x:f>A10</x:f>
        <x:v>SG-1: air-decomposed citrate precursor</x:v>
      </x:c>
      <x:c r="N3" t="n">
        <x:f>D10</x:f>
        <x:v>73</x:v>
      </x:c>
    </x:row>
    <x:row r="4" ht="38" customHeight="1">
      <x:c r="A4" s="20" t="str">
        <x:v>抽取理由</x:v>
      </x:c>
      <x:c r="B4" s="21" t="str">
        <x:v>论文提供三种催化剂热分解气氛、统一甲烷 CCVD 条件以及对应产率、TGA 碳含量和 CNT 结构证据，可形成三个对比 run。</x:v>
      </x:c>
      <x:c r="C4" s="21"/>
      <x:c r="D4" s="21"/>
      <x:c r="E4" s="21"/>
      <x:c r="F4" s="21"/>
      <x:c r="G4" s="21"/>
      <x:c r="H4" s="21"/>
      <x:c r="I4" s="21"/>
      <x:c r="J4" s="21"/>
      <x:c r="K4" s="21"/>
      <x:c r="M4" t="str">
        <x:f>A11</x:f>
        <x:v>SG-2: Ar-decomposed citrate precursor</x:v>
      </x:c>
      <x:c r="N4" t="n">
        <x:f>D11</x:f>
        <x:v>452</x:v>
      </x:c>
    </x:row>
    <x:row r="5" ht="38" customHeight="1">
      <x:c r="A5" s="20" t="str">
        <x:v>结果对比</x:v>
      </x:c>
      <x:c r="B5" s="21" t="str">
        <x:v>SG-2 在本文三组条件中报告最高 weight-gain yield（452%）和 TGA carbon（85%）；该比较不等于工业排序。</x:v>
      </x:c>
      <x:c r="C5" s="21"/>
      <x:c r="D5" s="21"/>
      <x:c r="E5" s="21"/>
      <x:c r="F5" s="21"/>
      <x:c r="G5" s="21"/>
      <x:c r="H5" s="21"/>
      <x:c r="I5" s="21"/>
      <x:c r="J5" s="21"/>
      <x:c r="K5" s="21"/>
      <x:c r="M5" t="str">
        <x:f>A12</x:f>
        <x:v>SG-3: H2-decomposed citrate precursor</x:v>
      </x:c>
      <x:c r="N5" t="n">
        <x:f>D12</x:f>
        <x:v>370</x:v>
      </x:c>
    </x:row>
    <x:row r="6" ht="38" customHeight="1">
      <x:c r="A6" s="20" t="str">
        <x:v>关键限制</x:v>
      </x:c>
      <x:c r="B6" s="21" t="str">
        <x:v>只有 900 °C 生长点；TGA carbon 不等于应用级纯度；长度、残留金属、甲烷转化率和寿命未报告。</x:v>
      </x:c>
      <x:c r="C6" s="21"/>
      <x:c r="D6" s="21"/>
      <x:c r="E6" s="21"/>
      <x:c r="F6" s="21"/>
      <x:c r="G6" s="21"/>
      <x:c r="H6" s="21"/>
      <x:c r="I6" s="21"/>
      <x:c r="J6" s="21"/>
      <x:c r="K6" s="21"/>
    </x:row>
    <x:row r="7" ht="38" customHeight="1">
      <x:c r="A7" s="20" t="str">
        <x:v>当前状态</x:v>
      </x:c>
      <x:c r="B7" s="21" t="str">
        <x:v>3 个 formal run 已进入五张主表；15 条 warning/observation 已完整结构化并进入暂存箱；均等待人工复核。</x:v>
      </x:c>
      <x:c r="C7" s="21"/>
      <x:c r="D7" s="21"/>
      <x:c r="E7" s="21"/>
      <x:c r="F7" s="21"/>
      <x:c r="G7" s="21"/>
      <x:c r="H7" s="21"/>
      <x:c r="I7" s="21"/>
      <x:c r="J7" s="21"/>
      <x:c r="K7" s="21"/>
    </x:row>
    <x:row r="8">
      <x:c r="M8" t="str">
        <x:v>run</x:v>
      </x:c>
      <x:c r="N8" t="str">
        <x:v>TGA carbon (%)</x:v>
      </x:c>
    </x:row>
    <x:row r="9" ht="44" customHeight="1">
      <x:c r="A9" s="25" t="str">
        <x:v>run</x:v>
      </x:c>
      <x:c r="B9" s="25" t="str">
        <x:v>催化剂热分解</x:v>
      </x:c>
      <x:c r="C9" s="25" t="str">
        <x:v>BET (m²/g)</x:v>
      </x:c>
      <x:c r="D9" s="25" t="str">
        <x:v>产率 (% weight gain)</x:v>
      </x:c>
      <x:c r="E9" s="25" t="str">
        <x:v>TGA carbon (%)</x:v>
      </x:c>
      <x:c r="F9" s="25" t="str">
        <x:v>确认 CNT 类型</x:v>
      </x:c>
      <x:c r="G9" s="25" t="str">
        <x:v>外径范围 (nm)</x:v>
      </x:c>
      <x:c r="H9" s="25" t="str">
        <x:v>平均外径 (nm)</x:v>
      </x:c>
      <x:c r="I9" s="25" t="str">
        <x:v>壁数</x:v>
      </x:c>
      <x:c r="J9" s="25" t="str">
        <x:v>Raman IG/ID</x:v>
      </x:c>
      <x:c r="K9" s="25" t="str">
        <x:v>人工复核状态</x:v>
      </x:c>
      <x:c r="M9" t="str">
        <x:f>A10</x:f>
        <x:v>SG-1: air-decomposed citrate precursor</x:v>
      </x:c>
      <x:c r="N9" t="n">
        <x:f>E10</x:f>
        <x:v>43</x:v>
      </x:c>
    </x:row>
    <x:row r="10" ht="54" customHeight="1">
      <x:c r="A10" s="21" t="str">
        <x:f>IF('source_run'!L2="","",'source_run'!L2)</x:f>
        <x:v>SG-1: air-decomposed citrate precursor</x:v>
      </x:c>
      <x:c r="B10" s="21" t="str">
        <x:f>IF('catalyst_system'!U2="","",'catalyst_system'!U2)</x:f>
        <x:v>citrate precursor thermally decomposed in air at 700 °C for 2 h</x:v>
      </x:c>
      <x:c r="C10" s="21" t="n">
        <x:f>IF('catalyst_system'!Z2="","",'catalyst_system'!Z2)</x:f>
        <x:v>60</x:v>
      </x:c>
      <x:c r="D10" s="21" t="n">
        <x:f>IF('yield_quality'!I2="","",'yield_quality'!I2)</x:f>
        <x:v>73</x:v>
      </x:c>
      <x:c r="E10" s="21" t="n">
        <x:f>IF('yield_quality'!AO2="","",'yield_quality'!AO2)</x:f>
        <x:v>43</x:v>
      </x:c>
      <x:c r="F10" s="21" t="str">
        <x:f>IF('yield_quality'!T2="","",'yield_quality'!T2)</x:f>
        <x:v>mixed t-MWCNT/MWCNT/carbon fiber</x:v>
      </x:c>
      <x:c r="G10" s="21" t="str">
        <x:f>IF('yield_quality'!AC2="","",'yield_quality'!AC2)</x:f>
      </x:c>
      <x:c r="H10" s="21" t="str">
        <x:f>IF('yield_quality'!AB2="","",'yield_quality'!AB2)</x:f>
      </x:c>
      <x:c r="I10" s="21" t="str">
        <x:f>IF('yield_quality'!AE2="","",'yield_quality'!AE2)</x:f>
      </x:c>
      <x:c r="J10" s="21" t="n">
        <x:f>IF('yield_quality'!AM2="","",'yield_quality'!AM2)</x:f>
        <x:v>3.6</x:v>
      </x:c>
      <x:c r="K10" s="21" t="str">
        <x:f>IF('source_run'!U2="","",'source_run'!U2)</x:f>
        <x:v>needs_review</x:v>
      </x:c>
      <x:c r="M10" t="str">
        <x:f>A11</x:f>
        <x:v>SG-2: Ar-decomposed citrate precursor</x:v>
      </x:c>
      <x:c r="N10" t="n">
        <x:f>E11</x:f>
        <x:v>85</x:v>
      </x:c>
    </x:row>
    <x:row r="11" ht="54" customHeight="1">
      <x:c r="A11" s="21" t="str">
        <x:f>IF('source_run'!L3="","",'source_run'!L3)</x:f>
        <x:v>SG-2: Ar-decomposed citrate precursor</x:v>
      </x:c>
      <x:c r="B11" s="21" t="str">
        <x:f>IF('catalyst_system'!U3="","",'catalyst_system'!U3)</x:f>
        <x:v>citrate precursor thermally decomposed in Ar at 500 sccm and 700 °C for 2 h</x:v>
      </x:c>
      <x:c r="C11" s="21" t="n">
        <x:f>IF('catalyst_system'!Z3="","",'catalyst_system'!Z3)</x:f>
        <x:v>202</x:v>
      </x:c>
      <x:c r="D11" s="21" t="n">
        <x:f>IF('yield_quality'!I3="","",'yield_quality'!I3)</x:f>
        <x:v>452</x:v>
      </x:c>
      <x:c r="E11" s="21" t="n">
        <x:f>IF('yield_quality'!AO3="","",'yield_quality'!AO3)</x:f>
        <x:v>85</x:v>
      </x:c>
      <x:c r="F11" s="21" t="str">
        <x:f>IF('yield_quality'!T3="","",'yield_quality'!T3)</x:f>
        <x:v>t-MWCNT</x:v>
      </x:c>
      <x:c r="G11" s="21" t="str">
        <x:f>IF('yield_quality'!AC3="","",'yield_quality'!AC3)</x:f>
        <x:v>4-8</x:v>
      </x:c>
      <x:c r="H11" s="21" t="n">
        <x:f>IF('yield_quality'!AB3="","",'yield_quality'!AB3)</x:f>
        <x:v>6.6</x:v>
      </x:c>
      <x:c r="I11" s="21" t="str">
        <x:f>IF('yield_quality'!AE3="","",'yield_quality'!AE3)</x:f>
        <x:v>4-7 graphene walls</x:v>
      </x:c>
      <x:c r="J11" s="21" t="n">
        <x:f>IF('yield_quality'!AM3="","",'yield_quality'!AM3)</x:f>
        <x:v>4.7</x:v>
      </x:c>
      <x:c r="K11" s="21" t="str">
        <x:f>IF('source_run'!U3="","",'source_run'!U3)</x:f>
        <x:v>needs_review</x:v>
      </x:c>
      <x:c r="M11" t="str">
        <x:f>A12</x:f>
        <x:v>SG-3: H2-decomposed citrate precursor</x:v>
      </x:c>
      <x:c r="N11" t="n">
        <x:f>E12</x:f>
        <x:v>82</x:v>
      </x:c>
    </x:row>
    <x:row r="12" ht="54" customHeight="1">
      <x:c r="A12" s="21" t="str">
        <x:f>IF('source_run'!L4="","",'source_run'!L4)</x:f>
        <x:v>SG-3: H2-decomposed citrate precursor</x:v>
      </x:c>
      <x:c r="B12" s="21" t="str">
        <x:f>IF('catalyst_system'!U4="","",'catalyst_system'!U4)</x:f>
        <x:v>citrate precursor thermally decomposed in H2 at 500 sccm and 700 °C for 2 h</x:v>
      </x:c>
      <x:c r="C12" s="21" t="n">
        <x:f>IF('catalyst_system'!Z4="","",'catalyst_system'!Z4)</x:f>
        <x:v>210</x:v>
      </x:c>
      <x:c r="D12" s="21" t="n">
        <x:f>IF('yield_quality'!I4="","",'yield_quality'!I4)</x:f>
        <x:v>370</x:v>
      </x:c>
      <x:c r="E12" s="21" t="n">
        <x:f>IF('yield_quality'!AO4="","",'yield_quality'!AO4)</x:f>
        <x:v>82</x:v>
      </x:c>
      <x:c r="F12" s="21" t="str">
        <x:f>IF('yield_quality'!T4="","",'yield_quality'!T4)</x:f>
        <x:v>t-MWCNT</x:v>
      </x:c>
      <x:c r="G12" s="21" t="str">
        <x:f>IF('yield_quality'!AC4="","",'yield_quality'!AC4)</x:f>
        <x:v>4-9</x:v>
      </x:c>
      <x:c r="H12" s="21" t="n">
        <x:f>IF('yield_quality'!AB4="","",'yield_quality'!AB4)</x:f>
        <x:v>7.7</x:v>
      </x:c>
      <x:c r="I12" s="21" t="str">
        <x:f>IF('yield_quality'!AE4="","",'yield_quality'!AE4)</x:f>
        <x:v>5-8 graphene walls</x:v>
      </x:c>
      <x:c r="J12" s="21" t="n">
        <x:f>IF('yield_quality'!AM4="","",'yield_quality'!AM4)</x:f>
        <x:v>3.1</x:v>
      </x:c>
      <x:c r="K12" s="21" t="str">
        <x:f>IF('source_run'!U4="","",'source_run'!U4)</x:f>
        <x:v>needs_review</x:v>
      </x:c>
    </x:row>
    <x:row r="31" ht="42" customHeight="1">
      <x:c r="A31" s="29" t="str">
        <x:v>判读：SG-2 在本文相同甲烷生长程序下报告最高产率和 TGA 碳含量；这只是来源内数据比较。工业放大判断等待人工复核，当前不赋分、不排序。</x:v>
      </x:c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</x:row>
  </x:sheetData>
  <x:mergeCells>
    <x:mergeCell ref="A1:K1"/>
    <x:mergeCell ref="B3:K3"/>
    <x:mergeCell ref="B4:K4"/>
    <x:mergeCell ref="B5:K5"/>
    <x:mergeCell ref="B6:K6"/>
    <x:mergeCell ref="B7:K7"/>
    <x:mergeCell ref="A31:K31"/>
  </x:mergeCells>
  <x:pageMargins left="0.7" right="0.7" top="0.75" bottom="0.75" header="0.3" footer="0.3"/>
  <x:drawing xmlns:r="http://schemas.openxmlformats.org/officeDocument/2006/relationships" r:id="Rdda7575b6968412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7" hidden="0" customWidth="1"/>
    <x:col min="10" max="10" width="17" hidden="0" customWidth="1"/>
    <x:col min="11" max="11" width="20" hidden="0" customWidth="1"/>
    <x:col min="12" max="12" width="17" hidden="0" customWidth="1"/>
    <x:col min="13" max="13" width="17" hidden="0" customWidth="1"/>
    <x:col min="14" max="14" width="20" hidden="0" customWidth="1"/>
    <x:col min="15" max="15" width="17" hidden="0" customWidth="1"/>
    <x:col min="16" max="16" width="17" hidden="0" customWidth="1"/>
    <x:col min="17" max="17" width="17" hidden="0" customWidth="1"/>
    <x:col min="18" max="18" width="20" hidden="0" customWidth="1"/>
    <x:col min="19" max="19" width="17" hidden="0" customWidth="1"/>
    <x:col min="20" max="20" width="17" hidden="0" customWidth="1"/>
    <x:col min="21" max="21" width="20" hidden="0" customWidth="1"/>
    <x:col min="22" max="22" width="20" hidden="0" customWidth="1"/>
    <x:col min="23" max="23" width="30" hidden="0" customWidth="1"/>
    <x:col min="24" max="24" width="30" hidden="0" customWidth="1"/>
  </x:cols>
  <x:sheetData>
    <x:row r="1" ht="60" customHeight="1">
      <x:c r="A1" s="5" t="str">
        <x:v>run_id</x:v>
      </x:c>
      <x:c r="B1" s="5" t="str">
        <x:v>source_id</x:v>
      </x:c>
      <x:c r="C1" s="5" t="str">
        <x:v>source_type</x:v>
      </x:c>
      <x:c r="D1" s="5" t="str">
        <x:v>source_title</x:v>
      </x:c>
      <x:c r="E1" s="9" t="str">
        <x:v>year</x:v>
      </x:c>
      <x:c r="F1" s="9" t="str">
        <x:v>authors_or_assignee</x:v>
      </x:c>
      <x:c r="G1" s="5" t="str">
        <x:v>doi_or_patent_no</x:v>
      </x:c>
      <x:c r="H1" s="5" t="str">
        <x:v>source_link</x:v>
      </x:c>
      <x:c r="I1" s="9" t="str">
        <x:v>source_database</x:v>
      </x:c>
      <x:c r="J1" s="5" t="str">
        <x:v>source_section</x:v>
      </x:c>
      <x:c r="K1" s="5" t="str">
        <x:v>data_type</x:v>
      </x:c>
      <x:c r="L1" s="9" t="str">
        <x:v>run_label</x:v>
      </x:c>
      <x:c r="M1" s="9" t="str">
        <x:v>target_track</x:v>
      </x:c>
      <x:c r="N1" s="5" t="str">
        <x:v>catalyst_key</x:v>
      </x:c>
      <x:c r="O1" s="5" t="str">
        <x:v>carbon_source_main</x:v>
      </x:c>
      <x:c r="P1" s="5" t="str">
        <x:v>reactor_type_main</x:v>
      </x:c>
      <x:c r="Q1" s="5" t="str">
        <x:v>CNT_type_main</x:v>
      </x:c>
      <x:c r="R1" s="5" t="str">
        <x:v>combo_key</x:v>
      </x:c>
      <x:c r="S1" s="5" t="str">
        <x:v>relevance_class</x:v>
      </x:c>
      <x:c r="T1" s="9" t="str">
        <x:v>relevance_score</x:v>
      </x:c>
      <x:c r="U1" s="5" t="str">
        <x:v>extraction_status</x:v>
      </x:c>
      <x:c r="V1" s="5" t="str">
        <x:v>extraction_confidence</x:v>
      </x:c>
      <x:c r="W1" s="9" t="str">
        <x:v>run_summary</x:v>
      </x:c>
      <x:c r="X1" s="9" t="str">
        <x:v>notes</x:v>
      </x:c>
    </x:row>
    <x:row r="2" ht="72" customHeight="1">
      <x:c r="A2" s="8" t="str">
        <x:v>PAPER_2012_DUBEY_SG1</x:v>
      </x:c>
      <x:c r="B2" s="8" t="str">
        <x:v>P001_Dubey_2012_FeMo_MgO_tMWCNT</x:v>
      </x:c>
      <x:c r="C2" s="8" t="str">
        <x:v>paper</x:v>
      </x:c>
      <x:c r="D2" s="8" t="str">
        <x:v>Synthesis of thin-multiwalled carbon nanotubes by Fe-Mo/MgO catalyst using sol-gel method</x:v>
      </x:c>
      <x:c r="E2" s="8" t="n">
        <x:v>2012</x:v>
      </x:c>
      <x:c r="F2" s="8" t="str">
        <x:v>Prashant Dubey; Sang Kyu Choi; Bawl Kim; Cheol Jin Lee</x:v>
      </x:c>
      <x:c r="G2" s="8" t="str">
        <x:v>10.5714/CL.2012.13.2.099</x:v>
      </x:c>
      <x:c r="H2" s="8" t="str">
        <x:v>https://doi.org/10.5714/CL.2012.13.2.099</x:v>
      </x:c>
      <x:c r="I2" s="8" t="str">
        <x:v>Carbon Letters; local PDF</x:v>
      </x:c>
      <x:c r="J2" s="8" t="str">
        <x:v>Sections 2.1-3.3; Table 1; Figs. 6-9</x:v>
      </x:c>
      <x:c r="K2" s="8" t="str">
        <x:v>experimental_run</x:v>
      </x:c>
      <x:c r="L2" s="8" t="str">
        <x:v>SG-1: air-decomposed citrate precursor</x:v>
      </x:c>
      <x:c r="M2" s="8" t="str">
        <x:v>CH4_CCVD_t-MWCNT</x:v>
      </x:c>
      <x:c r="N2" s="8" t="str">
        <x:v>Fe-Mo/MgO|citrate_sol_gel|air_700C</x:v>
      </x:c>
      <x:c r="O2" s="8" t="str">
        <x:v>CH4</x:v>
      </x:c>
      <x:c r="P2" s="8" t="str">
        <x:v>quartz tube reactor</x:v>
      </x:c>
      <x:c r="Q2" s="8" t="str">
        <x:v>mixed t-MWCNT/MWCNT/carbon fiber</x:v>
      </x:c>
      <x:c r="R2" s="10" t="str">
        <x:f>IF(COUNTA(N2,O2,P2,Q2)=0,"",N2&amp;" | "&amp;O2&amp;" | "&amp;P2&amp;" | "&amp;Q2)</x:f>
        <x:v>Fe-Mo/MgO|citrate_sol_gel|air_700C | CH4 | quartz tube reactor | mixed t-MWCNT/MWCNT/carbon fiber</x:v>
      </x:c>
      <x:c r="S2" s="8" t="str">
        <x:v>formal_extract</x:v>
      </x:c>
      <x:c r="T2" s="8"/>
      <x:c r="U2" s="8" t="str">
        <x:v>needs_review</x:v>
      </x:c>
      <x:c r="V2" s="8" t="str">
        <x:v>high</x:v>
      </x:c>
      <x:c r="W2" s="8" t="str">
        <x:v>Fe-Mo/MgO citrate precursor decomposed in air at 700 °C; methane CCVD at 900 °C produced a non-uniform mixture with low yield and TGA carbon content.</x:v>
      </x:c>
      <x:c r="X2" s="8" t="str">
        <x:v>Reported low-yield comparison condition retained; no reproduction priority or industrial score assigned. combo_key is calculated in the workbook.</x:v>
      </x:c>
    </x:row>
    <x:row r="3" ht="72" customHeight="1">
      <x:c r="A3" s="8" t="str">
        <x:v>PAPER_2012_DUBEY_SG2</x:v>
      </x:c>
      <x:c r="B3" s="8" t="str">
        <x:v>P001_Dubey_2012_FeMo_MgO_tMWCNT</x:v>
      </x:c>
      <x:c r="C3" s="8" t="str">
        <x:v>paper</x:v>
      </x:c>
      <x:c r="D3" s="8" t="str">
        <x:v>Synthesis of thin-multiwalled carbon nanotubes by Fe-Mo/MgO catalyst using sol-gel method</x:v>
      </x:c>
      <x:c r="E3" s="8" t="n">
        <x:v>2012</x:v>
      </x:c>
      <x:c r="F3" s="8" t="str">
        <x:v>Prashant Dubey; Sang Kyu Choi; Bawl Kim; Cheol Jin Lee</x:v>
      </x:c>
      <x:c r="G3" s="8" t="str">
        <x:v>10.5714/CL.2012.13.2.099</x:v>
      </x:c>
      <x:c r="H3" s="8" t="str">
        <x:v>https://doi.org/10.5714/CL.2012.13.2.099</x:v>
      </x:c>
      <x:c r="I3" s="8" t="str">
        <x:v>Carbon Letters; local PDF</x:v>
      </x:c>
      <x:c r="J3" s="8" t="str">
        <x:v>Sections 2.1-3.3; Table 1; Figs. 6-9</x:v>
      </x:c>
      <x:c r="K3" s="8" t="str">
        <x:v>experimental_run</x:v>
      </x:c>
      <x:c r="L3" s="8" t="str">
        <x:v>SG-2: Ar-decomposed citrate precursor</x:v>
      </x:c>
      <x:c r="M3" s="8" t="str">
        <x:v>CH4_CCVD_t-MWCNT</x:v>
      </x:c>
      <x:c r="N3" s="8" t="str">
        <x:v>Fe-Mo/MgO|citrate_sol_gel|Ar_700C</x:v>
      </x:c>
      <x:c r="O3" s="8" t="str">
        <x:v>CH4</x:v>
      </x:c>
      <x:c r="P3" s="8" t="str">
        <x:v>quartz tube reactor</x:v>
      </x:c>
      <x:c r="Q3" s="8" t="str">
        <x:v>t-MWCNT</x:v>
      </x:c>
      <x:c r="R3" s="10" t="str">
        <x:f>IF(COUNTA(N3,O3,P3,Q3)=0,"",N3&amp;" | "&amp;O3&amp;" | "&amp;P3&amp;" | "&amp;Q3)</x:f>
        <x:v>Fe-Mo/MgO|citrate_sol_gel|Ar_700C | CH4 | quartz tube reactor | t-MWCNT</x:v>
      </x:c>
      <x:c r="S3" s="8" t="str">
        <x:v>formal_extract</x:v>
      </x:c>
      <x:c r="T3" s="8"/>
      <x:c r="U3" s="8" t="str">
        <x:v>needs_review</x:v>
      </x:c>
      <x:c r="V3" s="8" t="str">
        <x:v>high</x:v>
      </x:c>
      <x:c r="W3" s="8" t="str">
        <x:v>Fe-Mo/MgO citrate precursor decomposed in Ar at 700 °C; methane CCVD at 900 °C produced uniform t-MWCNTs with 452% weight-gain yield and 85% TGA carbon content.</x:v>
      </x:c>
      <x:c r="X3" s="8" t="str">
        <x:v>Highest reported weight-gain yield among the three runs; no industrial ranking assigned. combo_key is calculated in the workbook.</x:v>
      </x:c>
    </x:row>
    <x:row r="4" ht="72" customHeight="1">
      <x:c r="A4" s="8" t="str">
        <x:v>PAPER_2012_DUBEY_SG3</x:v>
      </x:c>
      <x:c r="B4" s="8" t="str">
        <x:v>P001_Dubey_2012_FeMo_MgO_tMWCNT</x:v>
      </x:c>
      <x:c r="C4" s="8" t="str">
        <x:v>paper</x:v>
      </x:c>
      <x:c r="D4" s="8" t="str">
        <x:v>Synthesis of thin-multiwalled carbon nanotubes by Fe-Mo/MgO catalyst using sol-gel method</x:v>
      </x:c>
      <x:c r="E4" s="8" t="n">
        <x:v>2012</x:v>
      </x:c>
      <x:c r="F4" s="8" t="str">
        <x:v>Prashant Dubey; Sang Kyu Choi; Bawl Kim; Cheol Jin Lee</x:v>
      </x:c>
      <x:c r="G4" s="8" t="str">
        <x:v>10.5714/CL.2012.13.2.099</x:v>
      </x:c>
      <x:c r="H4" s="8" t="str">
        <x:v>https://doi.org/10.5714/CL.2012.13.2.099</x:v>
      </x:c>
      <x:c r="I4" s="8" t="str">
        <x:v>Carbon Letters; local PDF</x:v>
      </x:c>
      <x:c r="J4" s="8" t="str">
        <x:v>Sections 2.1-3.3; Table 1; Figs. 6-9</x:v>
      </x:c>
      <x:c r="K4" s="8" t="str">
        <x:v>experimental_run</x:v>
      </x:c>
      <x:c r="L4" s="8" t="str">
        <x:v>SG-3: H2-decomposed citrate precursor</x:v>
      </x:c>
      <x:c r="M4" s="8" t="str">
        <x:v>CH4_CCVD_t-MWCNT</x:v>
      </x:c>
      <x:c r="N4" s="8" t="str">
        <x:v>Fe-Mo/MgO|citrate_sol_gel|H2_700C</x:v>
      </x:c>
      <x:c r="O4" s="8" t="str">
        <x:v>CH4</x:v>
      </x:c>
      <x:c r="P4" s="8" t="str">
        <x:v>quartz tube reactor</x:v>
      </x:c>
      <x:c r="Q4" s="8" t="str">
        <x:v>t-MWCNT</x:v>
      </x:c>
      <x:c r="R4" s="10" t="str">
        <x:f>IF(COUNTA(N4,O4,P4,Q4)=0,"",N4&amp;" | "&amp;O4&amp;" | "&amp;P4&amp;" | "&amp;Q4)</x:f>
        <x:v>Fe-Mo/MgO|citrate_sol_gel|H2_700C | CH4 | quartz tube reactor | t-MWCNT</x:v>
      </x:c>
      <x:c r="S4" s="8" t="str">
        <x:v>formal_extract</x:v>
      </x:c>
      <x:c r="T4" s="8"/>
      <x:c r="U4" s="8" t="str">
        <x:v>needs_review</x:v>
      </x:c>
      <x:c r="V4" s="8" t="str">
        <x:v>high</x:v>
      </x:c>
      <x:c r="W4" s="8" t="str">
        <x:v>Fe-Mo/MgO citrate precursor decomposed in H2 at 700 °C; methane CCVD at 900 °C produced uniform t-MWCNTs with 370% weight-gain yield and 82% TGA carbon content.</x:v>
      </x:c>
      <x:c r="X4" s="8" t="str">
        <x:v>Reported H2-decomposition comparison to SG-2; no reproduction priority or industrial score assigned. combo_key is calculated in the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e4d164d1e29d46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30" hidden="0" customWidth="1"/>
    <x:col min="13" max="13" width="20" hidden="0" customWidth="1"/>
    <x:col min="14" max="14" width="20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30" hidden="0" customWidth="1"/>
    <x:col min="30" max="30" width="30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30" hidden="0" customWidth="1"/>
    <x:col min="36" max="36" width="30" hidden="0" customWidth="1"/>
    <x:col min="37" max="37" width="20" hidden="0" customWidth="1"/>
    <x:col min="38" max="38" width="30" hidden="0" customWidth="1"/>
  </x:cols>
  <x:sheetData>
    <x:row r="1" ht="60" customHeight="1">
      <x:c r="A1" s="5" t="str">
        <x:v>run_id</x:v>
      </x:c>
      <x:c r="B1" s="5" t="str">
        <x:v>catalyst_id</x:v>
      </x:c>
      <x:c r="C1" s="5" t="str">
        <x:v>catalyst_label</x:v>
      </x:c>
      <x:c r="D1" s="5" t="str">
        <x:v>catalyst_key</x:v>
      </x:c>
      <x:c r="E1" s="5" t="str">
        <x:v>active_metals</x:v>
      </x:c>
      <x:c r="F1" s="5" t="str">
        <x:v>support_material</x:v>
      </x:c>
      <x:c r="G1" s="5" t="str">
        <x:v>promoter</x:v>
      </x:c>
      <x:c r="H1" s="5" t="str">
        <x:v>metal_ratio_original</x:v>
      </x:c>
      <x:c r="I1" s="9" t="str">
        <x:v>metal_ratio_standardized</x:v>
      </x:c>
      <x:c r="J1" s="5" t="str">
        <x:v>precursor_summary</x:v>
      </x:c>
      <x:c r="K1" s="5" t="str">
        <x:v>preparation_method</x:v>
      </x:c>
      <x:c r="L1" s="5" t="str">
        <x:v>acid_or_complexing_summary</x:v>
      </x:c>
      <x:c r="M1" s="9" t="str">
        <x:v>acid_treatment_flag</x:v>
      </x:c>
      <x:c r="N1" s="9" t="str">
        <x:v>acid_treatment_type</x:v>
      </x:c>
      <x:c r="O1" s="9" t="str">
        <x:v>acid_treatment_purpose</x:v>
      </x:c>
      <x:c r="P1" s="9" t="str">
        <x:v>complexing_agent</x:v>
      </x:c>
      <x:c r="Q1" s="9" t="str">
        <x:v>complexing_ratio_original</x:v>
      </x:c>
      <x:c r="R1" s="9" t="str">
        <x:v>solution_pH</x:v>
      </x:c>
      <x:c r="S1" s="9" t="str">
        <x:v>washing_condition</x:v>
      </x:c>
      <x:c r="T1" s="9" t="str">
        <x:v>drying_condition</x:v>
      </x:c>
      <x:c r="U1" s="5" t="str">
        <x:v>calcination_condition</x:v>
      </x:c>
      <x:c r="V1" s="5" t="str">
        <x:v>reduction_condition</x:v>
      </x:c>
      <x:c r="W1" s="5" t="str">
        <x:v>activation_summary</x:v>
      </x:c>
      <x:c r="X1" s="9" t="str">
        <x:v>crushing_or_sieving_condition</x:v>
      </x:c>
      <x:c r="Y1" s="9" t="str">
        <x:v>catalyst_particle_size_nm</x:v>
      </x:c>
      <x:c r="Z1" s="9" t="str">
        <x:v>BET_surface_area_m2_g</x:v>
      </x:c>
      <x:c r="AA1" s="9" t="str">
        <x:v>pore_diameter_nm</x:v>
      </x:c>
      <x:c r="AB1" s="9" t="str">
        <x:v>pore_volume_cm3_g</x:v>
      </x:c>
      <x:c r="AC1" s="9" t="str">
        <x:v>phase_or_state_summary</x:v>
      </x:c>
      <x:c r="AD1" s="9" t="str">
        <x:v>dispersion_summary</x:v>
      </x:c>
      <x:c r="AE1" s="9" t="str">
        <x:v>expected_CNT_type_bias</x:v>
      </x:c>
      <x:c r="AF1" s="9" t="str">
        <x:v>catalyst_lifetime_or_reuse</x:v>
      </x:c>
      <x:c r="AG1" s="9" t="str">
        <x:v>deactivation_reason</x:v>
      </x:c>
      <x:c r="AH1" s="9" t="str">
        <x:v>catalyst_assessment</x:v>
      </x:c>
      <x:c r="AI1" s="5" t="str">
        <x:v>evidence_text</x:v>
      </x:c>
      <x:c r="AJ1" s="5" t="str">
        <x:v>evidence_location</x:v>
      </x:c>
      <x:c r="AK1" s="5" t="str">
        <x:v>confidence</x:v>
      </x:c>
      <x:c r="AL1" s="9" t="str">
        <x:v>notes</x:v>
      </x:c>
    </x:row>
    <x:row r="2" ht="72" customHeight="1">
      <x:c r="A2" s="8" t="str">
        <x:v>PAPER_2012_DUBEY_SG1</x:v>
      </x:c>
      <x:c r="B2" s="8" t="str">
        <x:v>CAT_DUBEY_SG1</x:v>
      </x:c>
      <x:c r="C2" s="8" t="str">
        <x:v>SG-1</x:v>
      </x:c>
      <x:c r="D2" s="8" t="str">
        <x:v>Fe-Mo/MgO|citrate_sol_gel|air_700C</x:v>
      </x:c>
      <x:c r="E2" s="8" t="str">
        <x:v>Fe; Mo</x:v>
      </x:c>
      <x:c r="F2" s="8" t="str">
        <x:v>MgO</x:v>
      </x:c>
      <x:c r="G2" s="8" t="str">
        <x:v>Mo</x:v>
      </x:c>
      <x:c r="H2" s="8" t="str">
        <x:v>Fe:Mo:MgO = 1:1.5:10 (molar)</x:v>
      </x:c>
      <x:c r="I2" s="8" t="str">
        <x:v>Fe/Mo = 0.667; Fe:Mo:MgO = 1:1.5:10</x:v>
      </x:c>
      <x:c r="J2" s="8" t="str">
        <x:v>Fe(NO3)3·9H2O; Mg(NO3)2·4H2O; (NH4)6Mo7O24·4H2O; DI water</x:v>
      </x:c>
      <x:c r="K2" s="8" t="str">
        <x:v>citrate precursor sol-gel</x:v>
      </x:c>
      <x:c r="L2" s="8" t="str">
        <x:v>Citric acid complexing; metal ion:citric acid = 1:1.2; solution pH about 1.0</x:v>
      </x:c>
      <x:c r="M2" s="8" t="str">
        <x:v>acid_complexing_only</x:v>
      </x:c>
      <x:c r="N2" s="8" t="str">
        <x:v>acid_complexing</x:v>
      </x:c>
      <x:c r="O2" s="8" t="str">
        <x:v>complex metal ions; prevent Mo precipitation; promote homogeneous gel</x:v>
      </x:c>
      <x:c r="P2" s="8" t="str">
        <x:v>citric acid</x:v>
      </x:c>
      <x:c r="Q2" s="8" t="str">
        <x:v>metal ion:citric acid = 1:1.2</x:v>
      </x:c>
      <x:c r="R2" s="8" t="n">
        <x:v>1</x:v>
      </x:c>
      <x:c r="S2" s="8"/>
      <x:c r="T2" s="8" t="str">
        <x:v>120 °C for 5 h</x:v>
      </x:c>
      <x:c r="U2" s="8" t="str">
        <x:v>citrate precursor thermally decomposed in air at 700 °C for 2 h</x:v>
      </x:c>
      <x:c r="V2" s="8"/>
      <x:c r="W2" s="8" t="str">
        <x:v>ground to fine powder before thermal decomposition</x:v>
      </x:c>
      <x:c r="X2" s="8"/>
      <x:c r="Y2" s="8" t="str">
        <x:v>non_uniform_not_quantified</x:v>
      </x:c>
      <x:c r="Z2" s="8" t="n">
        <x:v>60</x:v>
      </x:c>
      <x:c r="AA2" s="8" t="n">
        <x:v>11.4</x:v>
      </x:c>
      <x:c r="AB2" s="8" t="n">
        <x:v>0.17</x:v>
      </x:c>
      <x:c r="AC2" s="8" t="str">
        <x:v>separate MgMoO4/MgMo2O7/MoO3 phases observed; Fe mainly oxidized</x:v>
      </x:c>
      <x:c r="AD2" s="8" t="str">
        <x:v>non-uniform distribution and agglomerated catalyst particles</x:v>
      </x:c>
      <x:c r="AE2" s="8"/>
      <x:c r="AF2" s="8"/>
      <x:c r="AG2" s="8"/>
      <x:c r="AH2" s="8"/>
      <x:c r="AI2" s="8" t="str">
        <x:v>Air decomposition produced low BET area, large pores and non-uniform Fe-Mo dispersion; Table 1 reports 60 m²/g.</x:v>
      </x:c>
      <x:c r="AJ2" s="8" t="str">
        <x:v>PDF pp. 2-5; Section 2.1; Section 3.2; Table 1; Figs. 1-3</x:v>
      </x:c>
      <x:c r="AK2" s="8" t="str">
        <x:v>high</x:v>
      </x:c>
      <x:c r="AL2" s="8" t="str">
        <x:v>Bracketed MgO-only support values from Table 1 were not entered as catalyst values.</x:v>
      </x:c>
    </x:row>
    <x:row r="3" ht="72" customHeight="1">
      <x:c r="A3" s="8" t="str">
        <x:v>PAPER_2012_DUBEY_SG2</x:v>
      </x:c>
      <x:c r="B3" s="8" t="str">
        <x:v>CAT_DUBEY_SG2</x:v>
      </x:c>
      <x:c r="C3" s="8" t="str">
        <x:v>SG-2</x:v>
      </x:c>
      <x:c r="D3" s="8" t="str">
        <x:v>Fe-Mo/MgO|citrate_sol_gel|Ar_700C</x:v>
      </x:c>
      <x:c r="E3" s="8" t="str">
        <x:v>Fe; Mo</x:v>
      </x:c>
      <x:c r="F3" s="8" t="str">
        <x:v>MgO</x:v>
      </x:c>
      <x:c r="G3" s="8" t="str">
        <x:v>Mo</x:v>
      </x:c>
      <x:c r="H3" s="8" t="str">
        <x:v>Fe:Mo:MgO = 1:1.5:10 (molar)</x:v>
      </x:c>
      <x:c r="I3" s="8" t="str">
        <x:v>Fe/Mo = 0.667; Fe:Mo:MgO = 1:1.5:10</x:v>
      </x:c>
      <x:c r="J3" s="8" t="str">
        <x:v>Fe(NO3)3·9H2O; Mg(NO3)2·4H2O; (NH4)6Mo7O24·4H2O; DI water</x:v>
      </x:c>
      <x:c r="K3" s="8" t="str">
        <x:v>citrate precursor sol-gel</x:v>
      </x:c>
      <x:c r="L3" s="8" t="str">
        <x:v>Citric acid complexing; metal ion:citric acid = 1:1.2; solution pH about 1.0</x:v>
      </x:c>
      <x:c r="M3" s="8" t="str">
        <x:v>acid_complexing_only</x:v>
      </x:c>
      <x:c r="N3" s="8" t="str">
        <x:v>acid_complexing</x:v>
      </x:c>
      <x:c r="O3" s="8" t="str">
        <x:v>complex metal ions; prevent Mo precipitation; promote homogeneous gel</x:v>
      </x:c>
      <x:c r="P3" s="8" t="str">
        <x:v>citric acid</x:v>
      </x:c>
      <x:c r="Q3" s="8" t="str">
        <x:v>metal ion:citric acid = 1:1.2</x:v>
      </x:c>
      <x:c r="R3" s="8" t="n">
        <x:v>1</x:v>
      </x:c>
      <x:c r="S3" s="8"/>
      <x:c r="T3" s="8" t="str">
        <x:v>120 °C for 5 h</x:v>
      </x:c>
      <x:c r="U3" s="8" t="str">
        <x:v>citrate precursor thermally decomposed in Ar at 500 sccm and 700 °C for 2 h</x:v>
      </x:c>
      <x:c r="V3" s="8"/>
      <x:c r="W3" s="8" t="str">
        <x:v>ground to fine powder before thermal decomposition</x:v>
      </x:c>
      <x:c r="X3" s="8"/>
      <x:c r="Y3" s="8" t="str">
        <x:v>3-6</x:v>
      </x:c>
      <x:c r="Z3" s="8" t="n">
        <x:v>202</x:v>
      </x:c>
      <x:c r="AA3" s="8" t="n">
        <x:v>2.8</x:v>
      </x:c>
      <x:c r="AB3" s="8" t="n">
        <x:v>0.14</x:v>
      </x:c>
      <x:c r="AC3" s="8" t="str">
        <x:v>no separate Fe2O3 or MoOx phase detected; Fe-Mo nanoclusters dispersed in MgO</x:v>
      </x:c>
      <x:c r="AD3" s="8" t="str">
        <x:v>well-dispersed 3-6 nm Fe-Mo particles; Mo-rich clusters</x:v>
      </x:c>
      <x:c r="AE3" s="8"/>
      <x:c r="AF3" s="8"/>
      <x:c r="AG3" s="8"/>
      <x:c r="AH3" s="8"/>
      <x:c r="AI3" s="8" t="str">
        <x:v>Ar decomposition produced 3-6 nm dispersed particles and 202 m²/g BET area; these are reported catalyst observations.</x:v>
      </x:c>
      <x:c r="AJ3" s="8" t="str">
        <x:v>PDF pp. 2-5; Section 2.1; Section 3.2; Table 1; Figs. 1-3</x:v>
      </x:c>
      <x:c r="AK3" s="8" t="str">
        <x:v>high</x:v>
      </x:c>
      <x:c r="AL3" s="8" t="str">
        <x:v>TEM-EDS spot ratio was Mo-rich, but it was not treated as the bulk catalyst composition.</x:v>
      </x:c>
    </x:row>
    <x:row r="4" ht="72" customHeight="1">
      <x:c r="A4" s="8" t="str">
        <x:v>PAPER_2012_DUBEY_SG3</x:v>
      </x:c>
      <x:c r="B4" s="8" t="str">
        <x:v>CAT_DUBEY_SG3</x:v>
      </x:c>
      <x:c r="C4" s="8" t="str">
        <x:v>SG-3</x:v>
      </x:c>
      <x:c r="D4" s="8" t="str">
        <x:v>Fe-Mo/MgO|citrate_sol_gel|H2_700C</x:v>
      </x:c>
      <x:c r="E4" s="8" t="str">
        <x:v>Fe; Mo</x:v>
      </x:c>
      <x:c r="F4" s="8" t="str">
        <x:v>MgO</x:v>
      </x:c>
      <x:c r="G4" s="8" t="str">
        <x:v>Mo</x:v>
      </x:c>
      <x:c r="H4" s="8" t="str">
        <x:v>Fe:Mo:MgO = 1:1.5:10 (molar)</x:v>
      </x:c>
      <x:c r="I4" s="8" t="str">
        <x:v>Fe/Mo = 0.667; Fe:Mo:MgO = 1:1.5:10</x:v>
      </x:c>
      <x:c r="J4" s="8" t="str">
        <x:v>Fe(NO3)3·9H2O; Mg(NO3)2·4H2O; (NH4)6Mo7O24·4H2O; DI water</x:v>
      </x:c>
      <x:c r="K4" s="8" t="str">
        <x:v>citrate precursor sol-gel</x:v>
      </x:c>
      <x:c r="L4" s="8" t="str">
        <x:v>Citric acid complexing; metal ion:citric acid = 1:1.2; solution pH about 1.0</x:v>
      </x:c>
      <x:c r="M4" s="8" t="str">
        <x:v>acid_complexing_only</x:v>
      </x:c>
      <x:c r="N4" s="8" t="str">
        <x:v>acid_complexing</x:v>
      </x:c>
      <x:c r="O4" s="8" t="str">
        <x:v>complex metal ions; prevent Mo precipitation; promote homogeneous gel</x:v>
      </x:c>
      <x:c r="P4" s="8" t="str">
        <x:v>citric acid</x:v>
      </x:c>
      <x:c r="Q4" s="8" t="str">
        <x:v>metal ion:citric acid = 1:1.2</x:v>
      </x:c>
      <x:c r="R4" s="8" t="n">
        <x:v>1</x:v>
      </x:c>
      <x:c r="S4" s="8"/>
      <x:c r="T4" s="8" t="str">
        <x:v>120 °C for 5 h</x:v>
      </x:c>
      <x:c r="U4" s="8" t="str">
        <x:v>citrate precursor thermally decomposed in H2 at 500 sccm and 700 °C for 2 h</x:v>
      </x:c>
      <x:c r="V4" s="8"/>
      <x:c r="W4" s="8" t="str">
        <x:v>ground to fine powder before thermal decomposition</x:v>
      </x:c>
      <x:c r="X4" s="8"/>
      <x:c r="Y4" s="8" t="str">
        <x:v>3-6</x:v>
      </x:c>
      <x:c r="Z4" s="8" t="n">
        <x:v>210</x:v>
      </x:c>
      <x:c r="AA4" s="8" t="n">
        <x:v>2.8</x:v>
      </x:c>
      <x:c r="AB4" s="8" t="n">
        <x:v>0.15</x:v>
      </x:c>
      <x:c r="AC4" s="8" t="str">
        <x:v>Fe-Mo nanoclusters dispersed in MgO; Mo2C phase observed under reducing decomposition</x:v>
      </x:c>
      <x:c r="AD4" s="8" t="str">
        <x:v>well-dispersed 3-6 nm Fe-Mo particles; Mo-rich clusters</x:v>
      </x:c>
      <x:c r="AE4" s="8"/>
      <x:c r="AF4" s="8"/>
      <x:c r="AG4" s="8"/>
      <x:c r="AH4" s="8"/>
      <x:c r="AI4" s="8" t="str">
        <x:v>H2 decomposition produced 3-6 nm dispersed particles and 210 m²/g BET area; Mo2C was also observed.</x:v>
      </x:c>
      <x:c r="AJ4" s="8" t="str">
        <x:v>PDF pp. 2-5; Section 2.1; Section 3.2; Table 1; Figs. 1-3</x:v>
      </x:c>
      <x:c r="AK4" s="8" t="str">
        <x:v>high</x:v>
      </x:c>
      <x:c r="AL4" s="8" t="str">
        <x:v>TEM-EDS spot ratio was Mo-rich, but it was not treated as the bulk catalyst composition.</x:v>
      </x:c>
    </x:row>
  </x:sheetData>
  <x:pageMargins left="0.7" right="0.7" top="0.75" bottom="0.75" header="0.3" footer="0.3"/>
  <x:tableParts count="1">
    <x:tablePart xmlns:r="http://schemas.openxmlformats.org/officeDocument/2006/relationships" r:id="R0250c547959141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3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30" hidden="0" customWidth="1"/>
    <x:col min="20" max="20" width="17" hidden="0" customWidth="1"/>
    <x:col min="21" max="21" width="17" hidden="0" customWidth="1"/>
    <x:col min="22" max="22" width="3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30" hidden="0" customWidth="1"/>
    <x:col min="42" max="42" width="17" hidden="0" customWidth="1"/>
    <x:col min="43" max="43" width="17" hidden="0" customWidth="1"/>
    <x:col min="44" max="44" width="30" hidden="0" customWidth="1"/>
    <x:col min="45" max="45" width="30" hidden="0" customWidth="1"/>
    <x:col min="46" max="46" width="30" hidden="0" customWidth="1"/>
    <x:col min="47" max="47" width="20" hidden="0" customWidth="1"/>
  </x:cols>
  <x:sheetData>
    <x:row r="1" ht="60" customHeight="1">
      <x:c r="A1" s="5" t="str">
        <x:v>run_id</x:v>
      </x:c>
      <x:c r="B1" s="5" t="str">
        <x:v>process_stage_id</x:v>
      </x:c>
      <x:c r="C1" s="5" t="str">
        <x:v>stage_order</x:v>
      </x:c>
      <x:c r="D1" s="5" t="str">
        <x:v>stage_type</x:v>
      </x:c>
      <x:c r="E1" s="5" t="str">
        <x:v>reactor_type</x:v>
      </x:c>
      <x:c r="F1" s="9" t="str">
        <x:v>scale_level</x:v>
      </x:c>
      <x:c r="G1" s="9" t="str">
        <x:v>reactor_material</x:v>
      </x:c>
      <x:c r="H1" s="9" t="str">
        <x:v>reactor_size_summary</x:v>
      </x:c>
      <x:c r="I1" s="9" t="str">
        <x:v>catalyst_loading_mass_g</x:v>
      </x:c>
      <x:c r="J1" s="9" t="str">
        <x:v>catalyst_bed_position</x:v>
      </x:c>
      <x:c r="K1" s="9" t="str">
        <x:v>temperature_sensor_position</x:v>
      </x:c>
      <x:c r="L1" s="9" t="str">
        <x:v>start_temperature_C</x:v>
      </x:c>
      <x:c r="M1" s="5" t="str">
        <x:v>temperature_setpoint_C</x:v>
      </x:c>
      <x:c r="N1" s="5" t="str">
        <x:v>temperature_actual_C</x:v>
      </x:c>
      <x:c r="O1" s="5" t="str">
        <x:v>temperature_range_reported_C</x:v>
      </x:c>
      <x:c r="P1" s="9" t="str">
        <x:v>reported_suitable_temperature</x:v>
      </x:c>
      <x:c r="Q1" s="5" t="str">
        <x:v>reported_optimal_temperature</x:v>
      </x:c>
      <x:c r="R1" s="9" t="str">
        <x:v>reported_failed_temperature</x:v>
      </x:c>
      <x:c r="S1" s="5" t="str">
        <x:v>temperature_effect_summary</x:v>
      </x:c>
      <x:c r="T1" s="5" t="str">
        <x:v>holding_time_min</x:v>
      </x:c>
      <x:c r="U1" s="9" t="str">
        <x:v>heating_rate_C_min</x:v>
      </x:c>
      <x:c r="V1" s="9" t="str">
        <x:v>cooling_condition</x:v>
      </x:c>
      <x:c r="W1" s="5" t="str">
        <x:v>pressure_original</x:v>
      </x:c>
      <x:c r="X1" s="9" t="str">
        <x:v>pressure_kPa</x:v>
      </x:c>
      <x:c r="Y1" s="5" t="str">
        <x:v>carbon_source</x:v>
      </x:c>
      <x:c r="Z1" s="5" t="str">
        <x:v>CH4_flow_original</x:v>
      </x:c>
      <x:c r="AA1" s="5" t="str">
        <x:v>CH4_flow_sccm</x:v>
      </x:c>
      <x:c r="AB1" s="5" t="str">
        <x:v>natural_gas_flow_original</x:v>
      </x:c>
      <x:c r="AC1" s="5" t="str">
        <x:v>natural_gas_flow_sccm</x:v>
      </x:c>
      <x:c r="AD1" s="5" t="str">
        <x:v>natural_gas_composition</x:v>
      </x:c>
      <x:c r="AE1" s="5" t="str">
        <x:v>H2_flow_original</x:v>
      </x:c>
      <x:c r="AF1" s="5" t="str">
        <x:v>H2_flow_sccm</x:v>
      </x:c>
      <x:c r="AG1" s="5" t="str">
        <x:v>N2_flow_original</x:v>
      </x:c>
      <x:c r="AH1" s="5" t="str">
        <x:v>N2_flow_sccm</x:v>
      </x:c>
      <x:c r="AI1" s="5" t="str">
        <x:v>Ar_flow_original</x:v>
      </x:c>
      <x:c r="AJ1" s="5" t="str">
        <x:v>Ar_flow_sccm</x:v>
      </x:c>
      <x:c r="AK1" s="9" t="str">
        <x:v>other_gas_flow_original</x:v>
      </x:c>
      <x:c r="AL1" s="9" t="str">
        <x:v>other_gas_flow_sccm</x:v>
      </x:c>
      <x:c r="AM1" s="5" t="str">
        <x:v>total_flow_original</x:v>
      </x:c>
      <x:c r="AN1" s="5" t="str">
        <x:v>total_flow_sccm</x:v>
      </x:c>
      <x:c r="AO1" s="5" t="str">
        <x:v>gas_ratio_summary</x:v>
      </x:c>
      <x:c r="AP1" s="9" t="str">
        <x:v>CH4_volume_fraction_percent</x:v>
      </x:c>
      <x:c r="AQ1" s="9" t="str">
        <x:v>GHSV_or_residence_time</x:v>
      </x:c>
      <x:c r="AR1" s="5" t="str">
        <x:v>process_note</x:v>
      </x:c>
      <x:c r="AS1" s="5" t="str">
        <x:v>evidence_text</x:v>
      </x:c>
      <x:c r="AT1" s="5" t="str">
        <x:v>evidence_location</x:v>
      </x:c>
      <x:c r="AU1" s="5" t="str">
        <x:v>confidence</x:v>
      </x:c>
    </x:row>
    <x:row r="2" ht="72" customHeight="1">
      <x:c r="A2" s="8" t="str">
        <x:v>PAPER_2012_DUBEY_SG1</x:v>
      </x:c>
      <x:c r="B2" s="8" t="str">
        <x:v>SG1_S01_HEATING</x:v>
      </x:c>
      <x:c r="C2" s="8" t="n">
        <x:v>1</x:v>
      </x:c>
      <x:c r="D2" s="8" t="str">
        <x:v>heating</x:v>
      </x:c>
      <x:c r="E2" s="8" t="str">
        <x:v>quartz tube reactor in tube furnace</x:v>
      </x:c>
      <x:c r="F2" s="8" t="str">
        <x:v>lab_batch_large_diameter_tube</x:v>
      </x:c>
      <x:c r="G2" s="8" t="str">
        <x:v>quartz</x:v>
      </x:c>
      <x:c r="H2" s="8" t="str">
        <x:v>10 cm inner diameter; 120 cm length</x:v>
      </x:c>
      <x:c r="I2" s="8" t="n">
        <x:v>0.1</x:v>
      </x:c>
      <x:c r="J2" s="8" t="str">
        <x:v>quartz boat at reactor center</x:v>
      </x:c>
      <x:c r="K2" s="8"/>
      <x:c r="L2" s="8"/>
      <x:c r="M2" s="8" t="n">
        <x:v>900</x:v>
      </x:c>
      <x:c r="N2" s="8"/>
      <x:c r="O2" s="8"/>
      <x:c r="P2" s="8"/>
      <x:c r="Q2" s="8"/>
      <x:c r="R2" s="8"/>
      <x:c r="S2" s="8"/>
      <x:c r="T2" s="8"/>
      <x:c r="U2" s="8"/>
      <x:c r="V2" s="8"/>
      <x:c r="W2" s="8" t="str">
        <x:v>not_reported</x:v>
      </x:c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 t="str">
        <x:v>1000 sccm</x:v>
      </x:c>
      <x:c r="AJ2" s="8" t="n">
        <x:v>1000</x:v>
      </x:c>
      <x:c r="AK2" s="8"/>
      <x:c r="AL2" s="8"/>
      <x:c r="AM2" s="8" t="str">
        <x:v>1000 sccm</x:v>
      </x:c>
      <x:c r="AN2" s="8" t="n">
        <x:v>1000</x:v>
      </x:c>
      <x:c r="AO2" s="8" t="str">
        <x:v>Ar only</x:v>
      </x:c>
      <x:c r="AP2" s="8"/>
      <x:c r="AQ2" s="8"/>
      <x:c r="AR2" s="8" t="str">
        <x:v>Heating rate and time were not reported.</x:v>
      </x:c>
      <x:c r="AS2" s="8" t="str">
        <x:v>Catalyst was heated to 900 °C under Ar at 1000 sccm.</x:v>
      </x:c>
      <x:c r="AT2" s="8" t="str">
        <x:v>PDF p. 2, Section 2.2</x:v>
      </x:c>
      <x:c r="AU2" s="8" t="str">
        <x:v>high</x:v>
      </x:c>
    </x:row>
    <x:row r="3" ht="72" customHeight="1">
      <x:c r="A3" s="8" t="str">
        <x:v>PAPER_2012_DUBEY_SG1</x:v>
      </x:c>
      <x:c r="B3" s="8" t="str">
        <x:v>SG1_S02_PRETREAT</x:v>
      </x:c>
      <x:c r="C3" s="8" t="n">
        <x:v>2</x:v>
      </x:c>
      <x:c r="D3" s="8" t="str">
        <x:v>pretreatment</x:v>
      </x:c>
      <x:c r="E3" s="8" t="str">
        <x:v>quartz tube reactor in tube furnace</x:v>
      </x:c>
      <x:c r="F3" s="8" t="str">
        <x:v>lab_batch_large_diameter_tube</x:v>
      </x:c>
      <x:c r="G3" s="8" t="str">
        <x:v>quartz</x:v>
      </x:c>
      <x:c r="H3" s="8" t="str">
        <x:v>10 cm inner diameter; 120 cm length</x:v>
      </x:c>
      <x:c r="I3" s="8" t="n">
        <x:v>0.1</x:v>
      </x:c>
      <x:c r="J3" s="8" t="str">
        <x:v>quartz boat at reactor center</x:v>
      </x:c>
      <x:c r="K3" s="8"/>
      <x:c r="L3" s="8"/>
      <x:c r="M3" s="8" t="n">
        <x:v>900</x:v>
      </x:c>
      <x:c r="N3" s="8"/>
      <x:c r="O3" s="8"/>
      <x:c r="P3" s="8"/>
      <x:c r="Q3" s="8"/>
      <x:c r="R3" s="8"/>
      <x:c r="S3" s="8"/>
      <x:c r="T3" s="8" t="n">
        <x:v>20</x:v>
      </x:c>
      <x:c r="U3" s="8"/>
      <x:c r="V3" s="8"/>
      <x:c r="W3" s="8" t="str">
        <x:v>not_reported</x:v>
      </x:c>
      <x:c r="X3" s="8"/>
      <x:c r="Y3" s="8"/>
      <x:c r="Z3" s="8"/>
      <x:c r="AA3" s="8"/>
      <x:c r="AB3" s="8"/>
      <x:c r="AC3" s="8"/>
      <x:c r="AD3" s="8"/>
      <x:c r="AE3" s="8" t="str">
        <x:v>200 sccm</x:v>
      </x:c>
      <x:c r="AF3" s="8" t="n">
        <x:v>200</x:v>
      </x:c>
      <x:c r="AG3" s="8"/>
      <x:c r="AH3" s="8"/>
      <x:c r="AI3" s="8" t="str">
        <x:v>800 sccm</x:v>
      </x:c>
      <x:c r="AJ3" s="8" t="n">
        <x:v>800</x:v>
      </x:c>
      <x:c r="AK3" s="8"/>
      <x:c r="AL3" s="8"/>
      <x:c r="AM3" s="8" t="str">
        <x:v>1000 sccm</x:v>
      </x:c>
      <x:c r="AN3" s="8" t="n">
        <x:v>1000</x:v>
      </x:c>
      <x:c r="AO3" s="8" t="str">
        <x:v>Ar:H2 = 800:200 sccm (4:1)</x:v>
      </x:c>
      <x:c r="AP3" s="8"/>
      <x:c r="AQ3" s="8"/>
      <x:c r="AR3" s="8" t="str">
        <x:v>The authors describe this step as catalyst pretreatment.</x:v>
      </x:c>
      <x:c r="AS3" s="8" t="str">
        <x:v>At 900 °C the catalyst was pretreated for 20 min in Ar/H2 at 800/200 sccm.</x:v>
      </x:c>
      <x:c r="AT3" s="8" t="str">
        <x:v>PDF p. 2, Section 2.2</x:v>
      </x:c>
      <x:c r="AU3" s="8" t="str">
        <x:v>high</x:v>
      </x:c>
    </x:row>
    <x:row r="4" ht="72" customHeight="1">
      <x:c r="A4" s="8" t="str">
        <x:v>PAPER_2012_DUBEY_SG1</x:v>
      </x:c>
      <x:c r="B4" s="8" t="str">
        <x:v>SG1_S03_GROWTH</x:v>
      </x:c>
      <x:c r="C4" s="8" t="n">
        <x:v>3</x:v>
      </x:c>
      <x:c r="D4" s="8" t="str">
        <x:v>growth</x:v>
      </x:c>
      <x:c r="E4" s="8" t="str">
        <x:v>quartz tube reactor in tube furnace</x:v>
      </x:c>
      <x:c r="F4" s="8" t="str">
        <x:v>lab_batch_large_diameter_tube</x:v>
      </x:c>
      <x:c r="G4" s="8" t="str">
        <x:v>quartz</x:v>
      </x:c>
      <x:c r="H4" s="8" t="str">
        <x:v>10 cm inner diameter; 120 cm length</x:v>
      </x:c>
      <x:c r="I4" s="8" t="n">
        <x:v>0.1</x:v>
      </x:c>
      <x:c r="J4" s="8" t="str">
        <x:v>quartz boat at reactor center</x:v>
      </x:c>
      <x:c r="K4" s="8"/>
      <x:c r="L4" s="8"/>
      <x:c r="M4" s="8" t="n">
        <x:v>900</x:v>
      </x:c>
      <x:c r="N4" s="8"/>
      <x:c r="O4" s="8"/>
      <x:c r="P4" s="8"/>
      <x:c r="Q4" s="8"/>
      <x:c r="R4" s="8"/>
      <x:c r="S4" s="8"/>
      <x:c r="T4" s="8" t="n">
        <x:v>30</x:v>
      </x:c>
      <x:c r="U4" s="8"/>
      <x:c r="V4" s="8"/>
      <x:c r="W4" s="8" t="str">
        <x:v>not_reported</x:v>
      </x:c>
      <x:c r="X4" s="8"/>
      <x:c r="Y4" s="8" t="str">
        <x:v>CH4</x:v>
      </x:c>
      <x:c r="Z4" s="8" t="str">
        <x:v>1000 sccm</x:v>
      </x:c>
      <x:c r="AA4" s="8" t="n">
        <x:v>1000</x:v>
      </x:c>
      <x:c r="AB4" s="8"/>
      <x:c r="AC4" s="8"/>
      <x:c r="AD4" s="8"/>
      <x:c r="AE4" s="8" t="str">
        <x:v>200 sccm</x:v>
      </x:c>
      <x:c r="AF4" s="8" t="n">
        <x:v>200</x:v>
      </x:c>
      <x:c r="AG4" s="8"/>
      <x:c r="AH4" s="8"/>
      <x:c r="AI4" s="8" t="str">
        <x:v>1000 sccm</x:v>
      </x:c>
      <x:c r="AJ4" s="8" t="n">
        <x:v>1000</x:v>
      </x:c>
      <x:c r="AK4" s="8"/>
      <x:c r="AL4" s="8"/>
      <x:c r="AM4" s="8" t="str">
        <x:v>2200 sccm</x:v>
      </x:c>
      <x:c r="AN4" s="8" t="n">
        <x:v>2200</x:v>
      </x:c>
      <x:c r="AO4" s="8" t="str">
        <x:v>Ar:CH4:H2 = 1000:1000:200 sccm (5:5:1)</x:v>
      </x:c>
      <x:c r="AP4" s="8" t="n">
        <x:v>45.45</x:v>
      </x:c>
      <x:c r="AQ4" s="8"/>
      <x:c r="AR4" s="8" t="str">
        <x:v>[calculated] CH4_volume_fraction_percent = 1000/2200 × 100 = 45.45%; all gas flows are reported values. Only one growth temperature was reported, so no temperature effect was assigned.</x:v>
      </x:c>
      <x:c r="AS4" s="8" t="str">
        <x:v>CNT growth used Ar/CH4/H2 at 1000/1000/200 sccm and 900 °C for 30 min.</x:v>
      </x:c>
      <x:c r="AT4" s="8" t="str">
        <x:v>PDF p. 2, Section 2.2</x:v>
      </x:c>
      <x:c r="AU4" s="8" t="str">
        <x:v>high</x:v>
      </x:c>
    </x:row>
    <x:row r="5" ht="72" customHeight="1">
      <x:c r="A5" s="8" t="str">
        <x:v>PAPER_2012_DUBEY_SG1</x:v>
      </x:c>
      <x:c r="B5" s="8" t="str">
        <x:v>SG1_S04_COOLING</x:v>
      </x:c>
      <x:c r="C5" s="8" t="n">
        <x:v>4</x:v>
      </x:c>
      <x:c r="D5" s="8" t="str">
        <x:v>cooling</x:v>
      </x:c>
      <x:c r="E5" s="8" t="str">
        <x:v>quartz tube reactor in tube furnace</x:v>
      </x:c>
      <x:c r="F5" s="8" t="str">
        <x:v>lab_batch_large_diameter_tube</x:v>
      </x:c>
      <x:c r="G5" s="8" t="str">
        <x:v>quartz</x:v>
      </x:c>
      <x:c r="H5" s="8" t="str">
        <x:v>10 cm inner diameter; 120 cm length</x:v>
      </x:c>
      <x:c r="I5" s="8" t="n">
        <x:v>0.1</x:v>
      </x:c>
      <x:c r="J5" s="8" t="str">
        <x:v>quartz boat at reactor center</x:v>
      </x:c>
      <x:c r="K5" s="8"/>
      <x:c r="L5" s="8" t="n">
        <x:v>900</x:v>
      </x:c>
      <x:c r="M5" s="8"/>
      <x:c r="N5" s="8"/>
      <x:c r="O5" s="8"/>
      <x:c r="P5" s="8"/>
      <x:c r="Q5" s="8"/>
      <x:c r="R5" s="8"/>
      <x:c r="S5" s="8"/>
      <x:c r="T5" s="8"/>
      <x:c r="U5" s="8"/>
      <x:c r="V5" s="8" t="str">
        <x:v>cooled to room temperature in Ar</x:v>
      </x:c>
      <x:c r="W5" s="8" t="str">
        <x:v>not_reported</x:v>
      </x:c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 t="str">
        <x:v>500 sccm</x:v>
      </x:c>
      <x:c r="AJ5" s="8" t="n">
        <x:v>500</x:v>
      </x:c>
      <x:c r="AK5" s="8"/>
      <x:c r="AL5" s="8"/>
      <x:c r="AM5" s="8" t="str">
        <x:v>500 sccm</x:v>
      </x:c>
      <x:c r="AN5" s="8" t="n">
        <x:v>500</x:v>
      </x:c>
      <x:c r="AO5" s="8" t="str">
        <x:v>Ar only</x:v>
      </x:c>
      <x:c r="AP5" s="8"/>
      <x:c r="AQ5" s="8"/>
      <x:c r="AR5" s="8"/>
      <x:c r="AS5" s="8" t="str">
        <x:v>The reactor was cooled to room temperature under Ar at 500 sccm.</x:v>
      </x:c>
      <x:c r="AT5" s="8" t="str">
        <x:v>PDF p. 2, Section 2.2</x:v>
      </x:c>
      <x:c r="AU5" s="8" t="str">
        <x:v>high</x:v>
      </x:c>
    </x:row>
    <x:row r="6" ht="72" customHeight="1">
      <x:c r="A6" s="8" t="str">
        <x:v>PAPER_2012_DUBEY_SG2</x:v>
      </x:c>
      <x:c r="B6" s="8" t="str">
        <x:v>SG2_S01_HEATING</x:v>
      </x:c>
      <x:c r="C6" s="8" t="n">
        <x:v>1</x:v>
      </x:c>
      <x:c r="D6" s="8" t="str">
        <x:v>heating</x:v>
      </x:c>
      <x:c r="E6" s="8" t="str">
        <x:v>quartz tube reactor in tube furnace</x:v>
      </x:c>
      <x:c r="F6" s="8" t="str">
        <x:v>lab_batch_large_diameter_tube</x:v>
      </x:c>
      <x:c r="G6" s="8" t="str">
        <x:v>quartz</x:v>
      </x:c>
      <x:c r="H6" s="8" t="str">
        <x:v>10 cm inner diameter; 120 cm length</x:v>
      </x:c>
      <x:c r="I6" s="8" t="n">
        <x:v>0.1</x:v>
      </x:c>
      <x:c r="J6" s="8" t="str">
        <x:v>quartz boat at reactor center</x:v>
      </x:c>
      <x:c r="K6" s="8"/>
      <x:c r="L6" s="8"/>
      <x:c r="M6" s="8" t="n">
        <x:v>900</x:v>
      </x:c>
      <x:c r="N6" s="8"/>
      <x:c r="O6" s="8"/>
      <x:c r="P6" s="8"/>
      <x:c r="Q6" s="8"/>
      <x:c r="R6" s="8"/>
      <x:c r="S6" s="8"/>
      <x:c r="T6" s="8"/>
      <x:c r="U6" s="8"/>
      <x:c r="V6" s="8"/>
      <x:c r="W6" s="8" t="str">
        <x:v>not_reported</x:v>
      </x:c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 t="str">
        <x:v>1000 sccm</x:v>
      </x:c>
      <x:c r="AJ6" s="8" t="n">
        <x:v>1000</x:v>
      </x:c>
      <x:c r="AK6" s="8"/>
      <x:c r="AL6" s="8"/>
      <x:c r="AM6" s="8" t="str">
        <x:v>1000 sccm</x:v>
      </x:c>
      <x:c r="AN6" s="8" t="n">
        <x:v>1000</x:v>
      </x:c>
      <x:c r="AO6" s="8" t="str">
        <x:v>Ar only</x:v>
      </x:c>
      <x:c r="AP6" s="8"/>
      <x:c r="AQ6" s="8"/>
      <x:c r="AR6" s="8" t="str">
        <x:v>Heating rate and time were not reported.</x:v>
      </x:c>
      <x:c r="AS6" s="8" t="str">
        <x:v>Catalyst was heated to 900 °C under Ar at 1000 sccm.</x:v>
      </x:c>
      <x:c r="AT6" s="8" t="str">
        <x:v>PDF p. 2, Section 2.2</x:v>
      </x:c>
      <x:c r="AU6" s="8" t="str">
        <x:v>high</x:v>
      </x:c>
    </x:row>
    <x:row r="7" ht="72" customHeight="1">
      <x:c r="A7" s="8" t="str">
        <x:v>PAPER_2012_DUBEY_SG2</x:v>
      </x:c>
      <x:c r="B7" s="8" t="str">
        <x:v>SG2_S02_PRETREAT</x:v>
      </x:c>
      <x:c r="C7" s="8" t="n">
        <x:v>2</x:v>
      </x:c>
      <x:c r="D7" s="8" t="str">
        <x:v>pretreatment</x:v>
      </x:c>
      <x:c r="E7" s="8" t="str">
        <x:v>quartz tube reactor in tube furnace</x:v>
      </x:c>
      <x:c r="F7" s="8" t="str">
        <x:v>lab_batch_large_diameter_tube</x:v>
      </x:c>
      <x:c r="G7" s="8" t="str">
        <x:v>quartz</x:v>
      </x:c>
      <x:c r="H7" s="8" t="str">
        <x:v>10 cm inner diameter; 120 cm length</x:v>
      </x:c>
      <x:c r="I7" s="8" t="n">
        <x:v>0.1</x:v>
      </x:c>
      <x:c r="J7" s="8" t="str">
        <x:v>quartz boat at reactor center</x:v>
      </x:c>
      <x:c r="K7" s="8"/>
      <x:c r="L7" s="8"/>
      <x:c r="M7" s="8" t="n">
        <x:v>900</x:v>
      </x:c>
      <x:c r="N7" s="8"/>
      <x:c r="O7" s="8"/>
      <x:c r="P7" s="8"/>
      <x:c r="Q7" s="8"/>
      <x:c r="R7" s="8"/>
      <x:c r="S7" s="8"/>
      <x:c r="T7" s="8" t="n">
        <x:v>20</x:v>
      </x:c>
      <x:c r="U7" s="8"/>
      <x:c r="V7" s="8"/>
      <x:c r="W7" s="8" t="str">
        <x:v>not_reported</x:v>
      </x:c>
      <x:c r="X7" s="8"/>
      <x:c r="Y7" s="8"/>
      <x:c r="Z7" s="8"/>
      <x:c r="AA7" s="8"/>
      <x:c r="AB7" s="8"/>
      <x:c r="AC7" s="8"/>
      <x:c r="AD7" s="8"/>
      <x:c r="AE7" s="8" t="str">
        <x:v>200 sccm</x:v>
      </x:c>
      <x:c r="AF7" s="8" t="n">
        <x:v>200</x:v>
      </x:c>
      <x:c r="AG7" s="8"/>
      <x:c r="AH7" s="8"/>
      <x:c r="AI7" s="8" t="str">
        <x:v>800 sccm</x:v>
      </x:c>
      <x:c r="AJ7" s="8" t="n">
        <x:v>800</x:v>
      </x:c>
      <x:c r="AK7" s="8"/>
      <x:c r="AL7" s="8"/>
      <x:c r="AM7" s="8" t="str">
        <x:v>1000 sccm</x:v>
      </x:c>
      <x:c r="AN7" s="8" t="n">
        <x:v>1000</x:v>
      </x:c>
      <x:c r="AO7" s="8" t="str">
        <x:v>Ar:H2 = 800:200 sccm (4:1)</x:v>
      </x:c>
      <x:c r="AP7" s="8"/>
      <x:c r="AQ7" s="8"/>
      <x:c r="AR7" s="8" t="str">
        <x:v>The authors describe this step as catalyst pretreatment.</x:v>
      </x:c>
      <x:c r="AS7" s="8" t="str">
        <x:v>At 900 °C the catalyst was pretreated for 20 min in Ar/H2 at 800/200 sccm.</x:v>
      </x:c>
      <x:c r="AT7" s="8" t="str">
        <x:v>PDF p. 2, Section 2.2</x:v>
      </x:c>
      <x:c r="AU7" s="8" t="str">
        <x:v>high</x:v>
      </x:c>
    </x:row>
    <x:row r="8" ht="72" customHeight="1">
      <x:c r="A8" s="8" t="str">
        <x:v>PAPER_2012_DUBEY_SG2</x:v>
      </x:c>
      <x:c r="B8" s="8" t="str">
        <x:v>SG2_S03_GROWTH</x:v>
      </x:c>
      <x:c r="C8" s="8" t="n">
        <x:v>3</x:v>
      </x:c>
      <x:c r="D8" s="8" t="str">
        <x:v>growth</x:v>
      </x:c>
      <x:c r="E8" s="8" t="str">
        <x:v>quartz tube reactor in tube furnace</x:v>
      </x:c>
      <x:c r="F8" s="8" t="str">
        <x:v>lab_batch_large_diameter_tube</x:v>
      </x:c>
      <x:c r="G8" s="8" t="str">
        <x:v>quartz</x:v>
      </x:c>
      <x:c r="H8" s="8" t="str">
        <x:v>10 cm inner diameter; 120 cm length</x:v>
      </x:c>
      <x:c r="I8" s="8" t="n">
        <x:v>0.1</x:v>
      </x:c>
      <x:c r="J8" s="8" t="str">
        <x:v>quartz boat at reactor center</x:v>
      </x:c>
      <x:c r="K8" s="8"/>
      <x:c r="L8" s="8"/>
      <x:c r="M8" s="8" t="n">
        <x:v>900</x:v>
      </x:c>
      <x:c r="N8" s="8"/>
      <x:c r="O8" s="8"/>
      <x:c r="P8" s="8"/>
      <x:c r="Q8" s="8"/>
      <x:c r="R8" s="8"/>
      <x:c r="S8" s="8"/>
      <x:c r="T8" s="8" t="n">
        <x:v>30</x:v>
      </x:c>
      <x:c r="U8" s="8"/>
      <x:c r="V8" s="8"/>
      <x:c r="W8" s="8" t="str">
        <x:v>not_reported</x:v>
      </x:c>
      <x:c r="X8" s="8"/>
      <x:c r="Y8" s="8" t="str">
        <x:v>CH4</x:v>
      </x:c>
      <x:c r="Z8" s="8" t="str">
        <x:v>1000 sccm</x:v>
      </x:c>
      <x:c r="AA8" s="8" t="n">
        <x:v>1000</x:v>
      </x:c>
      <x:c r="AB8" s="8"/>
      <x:c r="AC8" s="8"/>
      <x:c r="AD8" s="8"/>
      <x:c r="AE8" s="8" t="str">
        <x:v>200 sccm</x:v>
      </x:c>
      <x:c r="AF8" s="8" t="n">
        <x:v>200</x:v>
      </x:c>
      <x:c r="AG8" s="8"/>
      <x:c r="AH8" s="8"/>
      <x:c r="AI8" s="8" t="str">
        <x:v>1000 sccm</x:v>
      </x:c>
      <x:c r="AJ8" s="8" t="n">
        <x:v>1000</x:v>
      </x:c>
      <x:c r="AK8" s="8"/>
      <x:c r="AL8" s="8"/>
      <x:c r="AM8" s="8" t="str">
        <x:v>2200 sccm</x:v>
      </x:c>
      <x:c r="AN8" s="8" t="n">
        <x:v>2200</x:v>
      </x:c>
      <x:c r="AO8" s="8" t="str">
        <x:v>Ar:CH4:H2 = 1000:1000:200 sccm (5:5:1)</x:v>
      </x:c>
      <x:c r="AP8" s="8" t="n">
        <x:v>45.45</x:v>
      </x:c>
      <x:c r="AQ8" s="8"/>
      <x:c r="AR8" s="8" t="str">
        <x:v>[calculated] CH4_volume_fraction_percent = 1000/2200 × 100 = 45.45%; all gas flows are reported values. Only one growth temperature was reported, so no temperature effect was assigned.</x:v>
      </x:c>
      <x:c r="AS8" s="8" t="str">
        <x:v>CNT growth used Ar/CH4/H2 at 1000/1000/200 sccm and 900 °C for 30 min.</x:v>
      </x:c>
      <x:c r="AT8" s="8" t="str">
        <x:v>PDF p. 2, Section 2.2</x:v>
      </x:c>
      <x:c r="AU8" s="8" t="str">
        <x:v>high</x:v>
      </x:c>
    </x:row>
    <x:row r="9" ht="72" customHeight="1">
      <x:c r="A9" s="8" t="str">
        <x:v>PAPER_2012_DUBEY_SG2</x:v>
      </x:c>
      <x:c r="B9" s="8" t="str">
        <x:v>SG2_S04_COOLING</x:v>
      </x:c>
      <x:c r="C9" s="8" t="n">
        <x:v>4</x:v>
      </x:c>
      <x:c r="D9" s="8" t="str">
        <x:v>cooling</x:v>
      </x:c>
      <x:c r="E9" s="8" t="str">
        <x:v>quartz tube reactor in tube furnace</x:v>
      </x:c>
      <x:c r="F9" s="8" t="str">
        <x:v>lab_batch_large_diameter_tube</x:v>
      </x:c>
      <x:c r="G9" s="8" t="str">
        <x:v>quartz</x:v>
      </x:c>
      <x:c r="H9" s="8" t="str">
        <x:v>10 cm inner diameter; 120 cm length</x:v>
      </x:c>
      <x:c r="I9" s="8" t="n">
        <x:v>0.1</x:v>
      </x:c>
      <x:c r="J9" s="8" t="str">
        <x:v>quartz boat at reactor center</x:v>
      </x:c>
      <x:c r="K9" s="8"/>
      <x:c r="L9" s="8" t="n">
        <x:v>900</x:v>
      </x:c>
      <x:c r="M9" s="8"/>
      <x:c r="N9" s="8"/>
      <x:c r="O9" s="8"/>
      <x:c r="P9" s="8"/>
      <x:c r="Q9" s="8"/>
      <x:c r="R9" s="8"/>
      <x:c r="S9" s="8"/>
      <x:c r="T9" s="8"/>
      <x:c r="U9" s="8"/>
      <x:c r="V9" s="8" t="str">
        <x:v>cooled to room temperature in Ar</x:v>
      </x:c>
      <x:c r="W9" s="8" t="str">
        <x:v>not_reported</x:v>
      </x:c>
      <x:c r="X9" s="8"/>
      <x:c r="Y9" s="8"/>
      <x:c r="Z9" s="8"/>
      <x:c r="AA9" s="8"/>
      <x:c r="AB9" s="8"/>
      <x:c r="AC9" s="8"/>
      <x:c r="AD9" s="8"/>
      <x:c r="AE9" s="8"/>
      <x:c r="AF9" s="8"/>
      <x:c r="AG9" s="8"/>
      <x:c r="AH9" s="8"/>
      <x:c r="AI9" s="8" t="str">
        <x:v>500 sccm</x:v>
      </x:c>
      <x:c r="AJ9" s="8" t="n">
        <x:v>500</x:v>
      </x:c>
      <x:c r="AK9" s="8"/>
      <x:c r="AL9" s="8"/>
      <x:c r="AM9" s="8" t="str">
        <x:v>500 sccm</x:v>
      </x:c>
      <x:c r="AN9" s="8" t="n">
        <x:v>500</x:v>
      </x:c>
      <x:c r="AO9" s="8" t="str">
        <x:v>Ar only</x:v>
      </x:c>
      <x:c r="AP9" s="8"/>
      <x:c r="AQ9" s="8"/>
      <x:c r="AR9" s="8"/>
      <x:c r="AS9" s="8" t="str">
        <x:v>The reactor was cooled to room temperature under Ar at 500 sccm.</x:v>
      </x:c>
      <x:c r="AT9" s="8" t="str">
        <x:v>PDF p. 2, Section 2.2</x:v>
      </x:c>
      <x:c r="AU9" s="8" t="str">
        <x:v>high</x:v>
      </x:c>
    </x:row>
    <x:row r="10" ht="72" customHeight="1">
      <x:c r="A10" s="8" t="str">
        <x:v>PAPER_2012_DUBEY_SG3</x:v>
      </x:c>
      <x:c r="B10" s="8" t="str">
        <x:v>SG3_S01_HEATING</x:v>
      </x:c>
      <x:c r="C10" s="8" t="n">
        <x:v>1</x:v>
      </x:c>
      <x:c r="D10" s="8" t="str">
        <x:v>heating</x:v>
      </x:c>
      <x:c r="E10" s="8" t="str">
        <x:v>quartz tube reactor in tube furnace</x:v>
      </x:c>
      <x:c r="F10" s="8" t="str">
        <x:v>lab_batch_large_diameter_tube</x:v>
      </x:c>
      <x:c r="G10" s="8" t="str">
        <x:v>quartz</x:v>
      </x:c>
      <x:c r="H10" s="8" t="str">
        <x:v>10 cm inner diameter; 120 cm length</x:v>
      </x:c>
      <x:c r="I10" s="8" t="n">
        <x:v>0.1</x:v>
      </x:c>
      <x:c r="J10" s="8" t="str">
        <x:v>quartz boat at reactor center</x:v>
      </x:c>
      <x:c r="K10" s="8"/>
      <x:c r="L10" s="8"/>
      <x:c r="M10" s="8" t="n">
        <x:v>900</x:v>
      </x:c>
      <x:c r="N10" s="8"/>
      <x:c r="O10" s="8"/>
      <x:c r="P10" s="8"/>
      <x:c r="Q10" s="8"/>
      <x:c r="R10" s="8"/>
      <x:c r="S10" s="8"/>
      <x:c r="T10" s="8"/>
      <x:c r="U10" s="8"/>
      <x:c r="V10" s="8"/>
      <x:c r="W10" s="8" t="str">
        <x:v>not_reported</x:v>
      </x:c>
      <x:c r="X10" s="8"/>
      <x:c r="Y10" s="8"/>
      <x:c r="Z10" s="8"/>
      <x:c r="AA10" s="8"/>
      <x:c r="AB10" s="8"/>
      <x:c r="AC10" s="8"/>
      <x:c r="AD10" s="8"/>
      <x:c r="AE10" s="8"/>
      <x:c r="AF10" s="8"/>
      <x:c r="AG10" s="8"/>
      <x:c r="AH10" s="8"/>
      <x:c r="AI10" s="8" t="str">
        <x:v>1000 sccm</x:v>
      </x:c>
      <x:c r="AJ10" s="8" t="n">
        <x:v>1000</x:v>
      </x:c>
      <x:c r="AK10" s="8"/>
      <x:c r="AL10" s="8"/>
      <x:c r="AM10" s="8" t="str">
        <x:v>1000 sccm</x:v>
      </x:c>
      <x:c r="AN10" s="8" t="n">
        <x:v>1000</x:v>
      </x:c>
      <x:c r="AO10" s="8" t="str">
        <x:v>Ar only</x:v>
      </x:c>
      <x:c r="AP10" s="8"/>
      <x:c r="AQ10" s="8"/>
      <x:c r="AR10" s="8" t="str">
        <x:v>Heating rate and time were not reported.</x:v>
      </x:c>
      <x:c r="AS10" s="8" t="str">
        <x:v>Catalyst was heated to 900 °C under Ar at 1000 sccm.</x:v>
      </x:c>
      <x:c r="AT10" s="8" t="str">
        <x:v>PDF p. 2, Section 2.2</x:v>
      </x:c>
      <x:c r="AU10" s="8" t="str">
        <x:v>high</x:v>
      </x:c>
    </x:row>
    <x:row r="11" ht="72" customHeight="1">
      <x:c r="A11" s="8" t="str">
        <x:v>PAPER_2012_DUBEY_SG3</x:v>
      </x:c>
      <x:c r="B11" s="8" t="str">
        <x:v>SG3_S02_PRETREAT</x:v>
      </x:c>
      <x:c r="C11" s="8" t="n">
        <x:v>2</x:v>
      </x:c>
      <x:c r="D11" s="8" t="str">
        <x:v>pretreatment</x:v>
      </x:c>
      <x:c r="E11" s="8" t="str">
        <x:v>quartz tube reactor in tube furnace</x:v>
      </x:c>
      <x:c r="F11" s="8" t="str">
        <x:v>lab_batch_large_diameter_tube</x:v>
      </x:c>
      <x:c r="G11" s="8" t="str">
        <x:v>quartz</x:v>
      </x:c>
      <x:c r="H11" s="8" t="str">
        <x:v>10 cm inner diameter; 120 cm length</x:v>
      </x:c>
      <x:c r="I11" s="8" t="n">
        <x:v>0.1</x:v>
      </x:c>
      <x:c r="J11" s="8" t="str">
        <x:v>quartz boat at reactor center</x:v>
      </x:c>
      <x:c r="K11" s="8"/>
      <x:c r="L11" s="8"/>
      <x:c r="M11" s="8" t="n">
        <x:v>900</x:v>
      </x:c>
      <x:c r="N11" s="8"/>
      <x:c r="O11" s="8"/>
      <x:c r="P11" s="8"/>
      <x:c r="Q11" s="8"/>
      <x:c r="R11" s="8"/>
      <x:c r="S11" s="8"/>
      <x:c r="T11" s="8" t="n">
        <x:v>20</x:v>
      </x:c>
      <x:c r="U11" s="8"/>
      <x:c r="V11" s="8"/>
      <x:c r="W11" s="8" t="str">
        <x:v>not_reported</x:v>
      </x:c>
      <x:c r="X11" s="8"/>
      <x:c r="Y11" s="8"/>
      <x:c r="Z11" s="8"/>
      <x:c r="AA11" s="8"/>
      <x:c r="AB11" s="8"/>
      <x:c r="AC11" s="8"/>
      <x:c r="AD11" s="8"/>
      <x:c r="AE11" s="8" t="str">
        <x:v>200 sccm</x:v>
      </x:c>
      <x:c r="AF11" s="8" t="n">
        <x:v>200</x:v>
      </x:c>
      <x:c r="AG11" s="8"/>
      <x:c r="AH11" s="8"/>
      <x:c r="AI11" s="8" t="str">
        <x:v>800 sccm</x:v>
      </x:c>
      <x:c r="AJ11" s="8" t="n">
        <x:v>800</x:v>
      </x:c>
      <x:c r="AK11" s="8"/>
      <x:c r="AL11" s="8"/>
      <x:c r="AM11" s="8" t="str">
        <x:v>1000 sccm</x:v>
      </x:c>
      <x:c r="AN11" s="8" t="n">
        <x:v>1000</x:v>
      </x:c>
      <x:c r="AO11" s="8" t="str">
        <x:v>Ar:H2 = 800:200 sccm (4:1)</x:v>
      </x:c>
      <x:c r="AP11" s="8"/>
      <x:c r="AQ11" s="8"/>
      <x:c r="AR11" s="8" t="str">
        <x:v>The authors describe this step as catalyst pretreatment.</x:v>
      </x:c>
      <x:c r="AS11" s="8" t="str">
        <x:v>At 900 °C the catalyst was pretreated for 20 min in Ar/H2 at 800/200 sccm.</x:v>
      </x:c>
      <x:c r="AT11" s="8" t="str">
        <x:v>PDF p. 2, Section 2.2</x:v>
      </x:c>
      <x:c r="AU11" s="8" t="str">
        <x:v>high</x:v>
      </x:c>
    </x:row>
    <x:row r="12" ht="72" customHeight="1">
      <x:c r="A12" s="8" t="str">
        <x:v>PAPER_2012_DUBEY_SG3</x:v>
      </x:c>
      <x:c r="B12" s="8" t="str">
        <x:v>SG3_S03_GROWTH</x:v>
      </x:c>
      <x:c r="C12" s="8" t="n">
        <x:v>3</x:v>
      </x:c>
      <x:c r="D12" s="8" t="str">
        <x:v>growth</x:v>
      </x:c>
      <x:c r="E12" s="8" t="str">
        <x:v>quartz tube reactor in tube furnace</x:v>
      </x:c>
      <x:c r="F12" s="8" t="str">
        <x:v>lab_batch_large_diameter_tube</x:v>
      </x:c>
      <x:c r="G12" s="8" t="str">
        <x:v>quartz</x:v>
      </x:c>
      <x:c r="H12" s="8" t="str">
        <x:v>10 cm inner diameter; 120 cm length</x:v>
      </x:c>
      <x:c r="I12" s="8" t="n">
        <x:v>0.1</x:v>
      </x:c>
      <x:c r="J12" s="8" t="str">
        <x:v>quartz boat at reactor center</x:v>
      </x:c>
      <x:c r="K12" s="8"/>
      <x:c r="L12" s="8"/>
      <x:c r="M12" s="8" t="n">
        <x:v>900</x:v>
      </x:c>
      <x:c r="N12" s="8"/>
      <x:c r="O12" s="8"/>
      <x:c r="P12" s="8"/>
      <x:c r="Q12" s="8"/>
      <x:c r="R12" s="8"/>
      <x:c r="S12" s="8"/>
      <x:c r="T12" s="8" t="n">
        <x:v>30</x:v>
      </x:c>
      <x:c r="U12" s="8"/>
      <x:c r="V12" s="8"/>
      <x:c r="W12" s="8" t="str">
        <x:v>not_reported</x:v>
      </x:c>
      <x:c r="X12" s="8"/>
      <x:c r="Y12" s="8" t="str">
        <x:v>CH4</x:v>
      </x:c>
      <x:c r="Z12" s="8" t="str">
        <x:v>1000 sccm</x:v>
      </x:c>
      <x:c r="AA12" s="8" t="n">
        <x:v>1000</x:v>
      </x:c>
      <x:c r="AB12" s="8"/>
      <x:c r="AC12" s="8"/>
      <x:c r="AD12" s="8"/>
      <x:c r="AE12" s="8" t="str">
        <x:v>200 sccm</x:v>
      </x:c>
      <x:c r="AF12" s="8" t="n">
        <x:v>200</x:v>
      </x:c>
      <x:c r="AG12" s="8"/>
      <x:c r="AH12" s="8"/>
      <x:c r="AI12" s="8" t="str">
        <x:v>1000 sccm</x:v>
      </x:c>
      <x:c r="AJ12" s="8" t="n">
        <x:v>1000</x:v>
      </x:c>
      <x:c r="AK12" s="8"/>
      <x:c r="AL12" s="8"/>
      <x:c r="AM12" s="8" t="str">
        <x:v>2200 sccm</x:v>
      </x:c>
      <x:c r="AN12" s="8" t="n">
        <x:v>2200</x:v>
      </x:c>
      <x:c r="AO12" s="8" t="str">
        <x:v>Ar:CH4:H2 = 1000:1000:200 sccm (5:5:1)</x:v>
      </x:c>
      <x:c r="AP12" s="8" t="n">
        <x:v>45.45</x:v>
      </x:c>
      <x:c r="AQ12" s="8"/>
      <x:c r="AR12" s="8" t="str">
        <x:v>[calculated] CH4_volume_fraction_percent = 1000/2200 × 100 = 45.45%; all gas flows are reported values. Only one growth temperature was reported, so no temperature effect was assigned.</x:v>
      </x:c>
      <x:c r="AS12" s="8" t="str">
        <x:v>CNT growth used Ar/CH4/H2 at 1000/1000/200 sccm and 900 °C for 30 min.</x:v>
      </x:c>
      <x:c r="AT12" s="8" t="str">
        <x:v>PDF p. 2, Section 2.2</x:v>
      </x:c>
      <x:c r="AU12" s="8" t="str">
        <x:v>high</x:v>
      </x:c>
    </x:row>
    <x:row r="13" ht="72" customHeight="1">
      <x:c r="A13" s="8" t="str">
        <x:v>PAPER_2012_DUBEY_SG3</x:v>
      </x:c>
      <x:c r="B13" s="8" t="str">
        <x:v>SG3_S04_COOLING</x:v>
      </x:c>
      <x:c r="C13" s="8" t="n">
        <x:v>4</x:v>
      </x:c>
      <x:c r="D13" s="8" t="str">
        <x:v>cooling</x:v>
      </x:c>
      <x:c r="E13" s="8" t="str">
        <x:v>quartz tube reactor in tube furnace</x:v>
      </x:c>
      <x:c r="F13" s="8" t="str">
        <x:v>lab_batch_large_diameter_tube</x:v>
      </x:c>
      <x:c r="G13" s="8" t="str">
        <x:v>quartz</x:v>
      </x:c>
      <x:c r="H13" s="8" t="str">
        <x:v>10 cm inner diameter; 120 cm length</x:v>
      </x:c>
      <x:c r="I13" s="8" t="n">
        <x:v>0.1</x:v>
      </x:c>
      <x:c r="J13" s="8" t="str">
        <x:v>quartz boat at reactor center</x:v>
      </x:c>
      <x:c r="K13" s="8"/>
      <x:c r="L13" s="8" t="n">
        <x:v>900</x:v>
      </x:c>
      <x:c r="M13" s="8"/>
      <x:c r="N13" s="8"/>
      <x:c r="O13" s="8"/>
      <x:c r="P13" s="8"/>
      <x:c r="Q13" s="8"/>
      <x:c r="R13" s="8"/>
      <x:c r="S13" s="8"/>
      <x:c r="T13" s="8"/>
      <x:c r="U13" s="8"/>
      <x:c r="V13" s="8" t="str">
        <x:v>cooled to room temperature in Ar</x:v>
      </x:c>
      <x:c r="W13" s="8" t="str">
        <x:v>not_reported</x:v>
      </x:c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 t="str">
        <x:v>500 sccm</x:v>
      </x:c>
      <x:c r="AJ13" s="8" t="n">
        <x:v>500</x:v>
      </x:c>
      <x:c r="AK13" s="8"/>
      <x:c r="AL13" s="8"/>
      <x:c r="AM13" s="8" t="str">
        <x:v>500 sccm</x:v>
      </x:c>
      <x:c r="AN13" s="8" t="n">
        <x:v>500</x:v>
      </x:c>
      <x:c r="AO13" s="8" t="str">
        <x:v>Ar only</x:v>
      </x:c>
      <x:c r="AP13" s="8"/>
      <x:c r="AQ13" s="8"/>
      <x:c r="AR13" s="8"/>
      <x:c r="AS13" s="8" t="str">
        <x:v>The reactor was cooled to room temperature under Ar at 500 sccm.</x:v>
      </x:c>
      <x:c r="AT13" s="8" t="str">
        <x:v>PDF p. 2, Section 2.2</x:v>
      </x:c>
      <x:c r="AU13" s="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3c9792cc388f45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30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3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30" hidden="0" customWidth="1"/>
    <x:col min="51" max="51" width="17" hidden="0" customWidth="1"/>
    <x:col min="52" max="52" width="30" hidden="0" customWidth="1"/>
    <x:col min="53" max="53" width="30" hidden="0" customWidth="1"/>
    <x:col min="54" max="54" width="17" hidden="0" customWidth="1"/>
    <x:col min="55" max="55" width="30" hidden="0" customWidth="1"/>
    <x:col min="56" max="56" width="30" hidden="0" customWidth="1"/>
    <x:col min="57" max="57" width="20" hidden="0" customWidth="1"/>
    <x:col min="58" max="58" width="30" hidden="0" customWidth="1"/>
  </x:cols>
  <x:sheetData>
    <x:row r="1" ht="60" customHeight="1">
      <x:c r="A1" s="5" t="str">
        <x:v>run_id</x:v>
      </x:c>
      <x:c r="B1" s="5" t="str">
        <x:v>product_id</x:v>
      </x:c>
      <x:c r="C1" s="9" t="str">
        <x:v>catalyst_mass_before_g</x:v>
      </x:c>
      <x:c r="D1" s="9" t="str">
        <x:v>product_mass_raw_g</x:v>
      </x:c>
      <x:c r="E1" s="9" t="str">
        <x:v>product_mass_after_purification_g</x:v>
      </x:c>
      <x:c r="F1" s="5" t="str">
        <x:v>yield_original</x:v>
      </x:c>
      <x:c r="G1" s="5" t="str">
        <x:v>yield_definition_original</x:v>
      </x:c>
      <x:c r="H1" s="5" t="str">
        <x:v>yield_calculation_method</x:v>
      </x:c>
      <x:c r="I1" s="5" t="str">
        <x:v>yield_value_standardized</x:v>
      </x:c>
      <x:c r="J1" s="5" t="str">
        <x:v>yield_unit_standardized</x:v>
      </x:c>
      <x:c r="K1" s="5" t="str">
        <x:v>yield_standardization_note</x:v>
      </x:c>
      <x:c r="L1" s="5" t="str">
        <x:v>CNT_yield_per_catalyst_g_gcat</x:v>
      </x:c>
      <x:c r="M1" s="5" t="str">
        <x:v>CNT_productivity_g_gcat_h</x:v>
      </x:c>
      <x:c r="N1" s="9" t="str">
        <x:v>space_time_yield_kg_m3_h</x:v>
      </x:c>
      <x:c r="O1" s="5" t="str">
        <x:v>methane_conversion_percent</x:v>
      </x:c>
      <x:c r="P1" s="5" t="str">
        <x:v>carbon_efficiency_percent</x:v>
      </x:c>
      <x:c r="Q1" s="9" t="str">
        <x:v>carbon_conversion_to_solid_percent</x:v>
      </x:c>
      <x:c r="R1" s="9" t="str">
        <x:v>CNT_selectivity_in_solid_carbon_percent</x:v>
      </x:c>
      <x:c r="S1" s="5" t="str">
        <x:v>CNT_type_reported</x:v>
      </x:c>
      <x:c r="T1" s="5" t="str">
        <x:v>CNT_type_confirmed</x:v>
      </x:c>
      <x:c r="U1" s="5" t="str">
        <x:v>is_SWCNT</x:v>
      </x:c>
      <x:c r="V1" s="9" t="str">
        <x:v>is_DWCNT</x:v>
      </x:c>
      <x:c r="W1" s="9" t="str">
        <x:v>is_t_MWCNT</x:v>
      </x:c>
      <x:c r="X1" s="5" t="str">
        <x:v>is_MWCNT</x:v>
      </x:c>
      <x:c r="Y1" s="5" t="str">
        <x:v>CNT_type_evidence</x:v>
      </x:c>
      <x:c r="Z1" s="5" t="str">
        <x:v>SWCNT_evidence_summary</x:v>
      </x:c>
      <x:c r="AA1" s="5" t="str">
        <x:v>RBM_peak_reported</x:v>
      </x:c>
      <x:c r="AB1" s="5" t="str">
        <x:v>outer_diameter_mean_nm</x:v>
      </x:c>
      <x:c r="AC1" s="5" t="str">
        <x:v>outer_diameter_range_nm</x:v>
      </x:c>
      <x:c r="AD1" s="9" t="str">
        <x:v>inner_diameter_mean_nm</x:v>
      </x:c>
      <x:c r="AE1" s="5" t="str">
        <x:v>inner_diameter_or_wall_number</x:v>
      </x:c>
      <x:c r="AF1" s="5" t="str">
        <x:v>wall_number_mean</x:v>
      </x:c>
      <x:c r="AG1" s="5" t="str">
        <x:v>length_summary</x:v>
      </x:c>
      <x:c r="AH1" s="5" t="str">
        <x:v>length_mean_um</x:v>
      </x:c>
      <x:c r="AI1" s="9" t="str">
        <x:v>aspect_ratio</x:v>
      </x:c>
      <x:c r="AJ1" s="5" t="str">
        <x:v>morphology</x:v>
      </x:c>
      <x:c r="AK1" s="9" t="str">
        <x:v>alignment_or_array</x:v>
      </x:c>
      <x:c r="AL1" s="5" t="str">
        <x:v>Raman_ID_IG</x:v>
      </x:c>
      <x:c r="AM1" s="9" t="str">
        <x:v>Raman_IG_ID</x:v>
      </x:c>
      <x:c r="AN1" s="9" t="str">
        <x:v>Raman_laser_wavelength_nm</x:v>
      </x:c>
      <x:c r="AO1" s="5" t="str">
        <x:v>purity_wt_percent</x:v>
      </x:c>
      <x:c r="AP1" s="9" t="str">
        <x:v>ash_content_wt_percent</x:v>
      </x:c>
      <x:c r="AQ1" s="5" t="str">
        <x:v>metal_residue_wt_percent</x:v>
      </x:c>
      <x:c r="AR1" s="9" t="str">
        <x:v>amorphous_carbon_level</x:v>
      </x:c>
      <x:c r="AS1" s="9" t="str">
        <x:v>BET_surface_area_product_m2_g</x:v>
      </x:c>
      <x:c r="AT1" s="9" t="str">
        <x:v>tap_density_g_cm3</x:v>
      </x:c>
      <x:c r="AU1" s="9" t="str">
        <x:v>bulk_density_g_cm3</x:v>
      </x:c>
      <x:c r="AV1" s="9" t="str">
        <x:v>conductivity</x:v>
      </x:c>
      <x:c r="AW1" s="9" t="str">
        <x:v>slurry_viscosity</x:v>
      </x:c>
      <x:c r="AX1" s="5" t="str">
        <x:v>characterization_methods</x:v>
      </x:c>
      <x:c r="AY1" s="5" t="str">
        <x:v>post_treatment_or_purification</x:v>
      </x:c>
      <x:c r="AZ1" s="5" t="str">
        <x:v>purification_condition</x:v>
      </x:c>
      <x:c r="BA1" s="9" t="str">
        <x:v>application_related_properties</x:v>
      </x:c>
      <x:c r="BB1" s="9" t="str">
        <x:v>image_or_figure_ref</x:v>
      </x:c>
      <x:c r="BC1" s="5" t="str">
        <x:v>evidence_text</x:v>
      </x:c>
      <x:c r="BD1" s="5" t="str">
        <x:v>evidence_location</x:v>
      </x:c>
      <x:c r="BE1" s="5" t="str">
        <x:v>confidence</x:v>
      </x:c>
      <x:c r="BF1" s="9" t="str">
        <x:v>notes</x:v>
      </x:c>
    </x:row>
    <x:row r="2" ht="72" customHeight="1">
      <x:c r="A2" s="8" t="str">
        <x:v>PAPER_2012_DUBEY_SG1</x:v>
      </x:c>
      <x:c r="B2" s="8" t="str">
        <x:v>PROD_DUBEY_SG1</x:v>
      </x:c>
      <x:c r="C2" s="8" t="n">
        <x:v>0.1</x:v>
      </x:c>
      <x:c r="D2" s="8"/>
      <x:c r="E2" s="8"/>
      <x:c r="F2" s="8" t="str">
        <x:v>73% carbon weight gain</x:v>
      </x:c>
      <x:c r="G2" s="8" t="str">
        <x:v>C_weight-gain (%) = [(w_tot - w_cat) / w_cat] × 100</x:v>
      </x:c>
      <x:c r="H2" s="8" t="str">
        <x:v>reported Eq. (1); w_cat is catalyst before growth and w_tot is catalyst plus carbon after growth</x:v>
      </x:c>
      <x:c r="I2" s="8" t="n">
        <x:v>73</x:v>
      </x:c>
      <x:c r="J2" s="8" t="str">
        <x:v>% carbon weight gain relative to catalyst</x:v>
      </x:c>
      <x:c r="K2" s="8" t="str">
        <x:v>Reported value transcribed without conversion to purified CNT mass.</x:v>
      </x:c>
      <x:c r="L2" s="8"/>
      <x:c r="M2" s="8"/>
      <x:c r="N2" s="8"/>
      <x:c r="O2" s="8"/>
      <x:c r="P2" s="8"/>
      <x:c r="Q2" s="8"/>
      <x:c r="R2" s="8"/>
      <x:c r="S2" s="8" t="str">
        <x:v>t-MWCNT with mixed carbon products</x:v>
      </x:c>
      <x:c r="T2" s="8" t="str">
        <x:v>mixed t-MWCNT/MWCNT/carbon fiber</x:v>
      </x:c>
      <x:c r="U2" s="8" t="str">
        <x:v>no</x:v>
      </x:c>
      <x:c r="V2" s="8" t="str">
        <x:v>unknown</x:v>
      </x:c>
      <x:c r="W2" s="8" t="str">
        <x:v>partial_mixed</x:v>
      </x:c>
      <x:c r="X2" s="8" t="str">
        <x:v>partial_mixed</x:v>
      </x:c>
      <x:c r="Y2" s="8" t="str">
        <x:v>SEM and TEM show thick CNTs, carbon fibers, narrow CNTs and a mixed t-MWCNT/MWCNT product.</x:v>
      </x:c>
      <x:c r="Z2" s="8" t="str">
        <x:v>No SWCNT assignment; multi-wall structures and carbon fibers are visible by TEM/HRTEM.</x:v>
      </x:c>
      <x:c r="AA2" s="8"/>
      <x:c r="AB2" s="8"/>
      <x:c r="AC2" s="8"/>
      <x:c r="AD2" s="8"/>
      <x:c r="AE2" s="8"/>
      <x:c r="AF2" s="8"/>
      <x:c r="AG2" s="8" t="str">
        <x:v>not_reported</x:v>
      </x:c>
      <x:c r="AH2" s="8"/>
      <x:c r="AI2" s="8"/>
      <x:c r="AJ2" s="8" t="str">
        <x:v>non-uniform mixture of thick CNTs, carbon fibers and some t-MWCNTs</x:v>
      </x:c>
      <x:c r="AK2" s="8"/>
      <x:c r="AL2" s="8"/>
      <x:c r="AM2" s="8" t="n">
        <x:v>3.6</x:v>
      </x:c>
      <x:c r="AN2" s="8" t="n">
        <x:v>514.5</x:v>
      </x:c>
      <x:c r="AO2" s="8" t="n">
        <x:v>43</x:v>
      </x:c>
      <x:c r="AP2" s="8"/>
      <x:c r="AQ2" s="8"/>
      <x:c r="AR2" s="8" t="str">
        <x:v>non-homogeneous carbon; broad/weak DTG peak</x:v>
      </x:c>
      <x:c r="AS2" s="8"/>
      <x:c r="AT2" s="8"/>
      <x:c r="AU2" s="8"/>
      <x:c r="AV2" s="8"/>
      <x:c r="AW2" s="8"/>
      <x:c r="AX2" s="8" t="str">
        <x:v>SEM; TEM/HRTEM; TGA/DTG; Raman</x:v>
      </x:c>
      <x:c r="AY2" s="8" t="str">
        <x:v>none before SEM/TEM/TGA/Raman characterization</x:v>
      </x:c>
      <x:c r="AZ2" s="8" t="str">
        <x:v>not_applicable for reported as-synthesized characterization</x:v>
      </x:c>
      <x:c r="BA2" s="8"/>
      <x:c r="BB2" s="8" t="str">
        <x:v>Figs. 6a-b, 7a-b, 8, 9; Table 1</x:v>
      </x:c>
      <x:c r="BC2" s="8" t="str">
        <x:v>Table 1 reports 73% weight-gain yield and 43% TGA carbon; microscopy confirms a mixed, non-uniform product.</x:v>
      </x:c>
      <x:c r="BD2" s="8" t="str">
        <x:v>PDF pp. 4, 6-8; Table 1; Figs. 6-9</x:v>
      </x:c>
      <x:c r="BE2" s="8" t="str">
        <x:v>high</x:v>
      </x:c>
      <x:c r="BF2" s="8" t="str">
        <x:v>MIXED PRODUCT WARNING: partial_mixed flags confirm t-MWCNT/MWCNT components only and must not be read as a clean CNT success; carbon fibers and non-uniform carbon products are also present. 43% is TGA carbon content, not separately quantified residual-metal or application-grade purity. Raman_IG_ID is reported; Raman_ID_IG was not reported or calculated. Diameter and length distributions were not reported.</x:v>
      </x:c>
    </x:row>
    <x:row r="3" ht="72" customHeight="1">
      <x:c r="A3" s="8" t="str">
        <x:v>PAPER_2012_DUBEY_SG2</x:v>
      </x:c>
      <x:c r="B3" s="8" t="str">
        <x:v>PROD_DUBEY_SG2</x:v>
      </x:c>
      <x:c r="C3" s="8" t="n">
        <x:v>0.1</x:v>
      </x:c>
      <x:c r="D3" s="8"/>
      <x:c r="E3" s="8"/>
      <x:c r="F3" s="8" t="str">
        <x:v>452% carbon weight gain</x:v>
      </x:c>
      <x:c r="G3" s="8" t="str">
        <x:v>C_weight-gain (%) = [(w_tot - w_cat) / w_cat] × 100</x:v>
      </x:c>
      <x:c r="H3" s="8" t="str">
        <x:v>reported Eq. (1); w_cat is catalyst before growth and w_tot is catalyst plus carbon after growth</x:v>
      </x:c>
      <x:c r="I3" s="8" t="n">
        <x:v>452</x:v>
      </x:c>
      <x:c r="J3" s="8" t="str">
        <x:v>% carbon weight gain relative to catalyst</x:v>
      </x:c>
      <x:c r="K3" s="8" t="str">
        <x:v>Reported value transcribed without conversion to purified CNT mass.</x:v>
      </x:c>
      <x:c r="L3" s="8"/>
      <x:c r="M3" s="8"/>
      <x:c r="N3" s="8"/>
      <x:c r="O3" s="8"/>
      <x:c r="P3" s="8"/>
      <x:c r="Q3" s="8"/>
      <x:c r="R3" s="8"/>
      <x:c r="S3" s="8" t="str">
        <x:v>t-MWCNT</x:v>
      </x:c>
      <x:c r="T3" s="8" t="str">
        <x:v>t-MWCNT</x:v>
      </x:c>
      <x:c r="U3" s="8" t="str">
        <x:v>no</x:v>
      </x:c>
      <x:c r="V3" s="8" t="str">
        <x:v>no</x:v>
      </x:c>
      <x:c r="W3" s="8" t="str">
        <x:v>yes</x:v>
      </x:c>
      <x:c r="X3" s="8" t="str">
        <x:v>yes</x:v>
      </x:c>
      <x:c r="Y3" s="8" t="str">
        <x:v>TEM/HRTEM shows resolved 4-7 graphene walls and uniform 4-8 nm outer diameters.</x:v>
      </x:c>
      <x:c r="Z3" s="8" t="str">
        <x:v>HRTEM wall count confirms multi-walled rather than single-walled tubes.</x:v>
      </x:c>
      <x:c r="AA3" s="8"/>
      <x:c r="AB3" s="8" t="n">
        <x:v>6.6</x:v>
      </x:c>
      <x:c r="AC3" s="8" t="str">
        <x:v>4-8</x:v>
      </x:c>
      <x:c r="AD3" s="8"/>
      <x:c r="AE3" s="8" t="str">
        <x:v>4-7 graphene walls</x:v>
      </x:c>
      <x:c r="AF3" s="8"/>
      <x:c r="AG3" s="8" t="str">
        <x:v>not_reported</x:v>
      </x:c>
      <x:c r="AH3" s="8"/>
      <x:c r="AI3" s="8"/>
      <x:c r="AJ3" s="8" t="str">
        <x:v>uniform, entangled t-MWCNTs; isolated tubes and bundles; clean surfaces</x:v>
      </x:c>
      <x:c r="AK3" s="8"/>
      <x:c r="AL3" s="8"/>
      <x:c r="AM3" s="8" t="n">
        <x:v>4.7</x:v>
      </x:c>
      <x:c r="AN3" s="8" t="n">
        <x:v>514.5</x:v>
      </x:c>
      <x:c r="AO3" s="8" t="n">
        <x:v>85</x:v>
      </x:c>
      <x:c r="AP3" s="8"/>
      <x:c r="AQ3" s="8"/>
      <x:c r="AR3" s="8" t="str">
        <x:v>low; slight surface deposits noted by HRTEM</x:v>
      </x:c>
      <x:c r="AS3" s="8"/>
      <x:c r="AT3" s="8"/>
      <x:c r="AU3" s="8"/>
      <x:c r="AV3" s="8"/>
      <x:c r="AW3" s="8"/>
      <x:c r="AX3" s="8" t="str">
        <x:v>SEM; TEM/HRTEM; TGA/DTG; Raman</x:v>
      </x:c>
      <x:c r="AY3" s="8" t="str">
        <x:v>none before SEM/TEM/TGA/Raman characterization</x:v>
      </x:c>
      <x:c r="AZ3" s="8" t="str">
        <x:v>not_applicable for reported as-synthesized characterization</x:v>
      </x:c>
      <x:c r="BA3" s="8"/>
      <x:c r="BB3" s="8" t="str">
        <x:v>Figs. 6c-d, 7c-d, 8, 9; Table 1</x:v>
      </x:c>
      <x:c r="BC3" s="8" t="str">
        <x:v>Table 1 reports 452% weight-gain yield and 85% TGA carbon; HRTEM gives 4-8 nm diameter and 4-7 walls.</x:v>
      </x:c>
      <x:c r="BD3" s="8" t="str">
        <x:v>PDF pp. 4, 6-8; Table 1; Figs. 6-9</x:v>
      </x:c>
      <x:c r="BE3" s="8" t="str">
        <x:v>high</x:v>
      </x:c>
      <x:c r="BF3" s="8" t="str">
        <x:v>Raman_IG_ID is reported; Raman_ID_IG was not reported or calculated. More than 95% of measured tubes were in the 4-8 nm range; length and residual metal were not reported.</x:v>
      </x:c>
    </x:row>
    <x:row r="4" ht="72" customHeight="1">
      <x:c r="A4" s="8" t="str">
        <x:v>PAPER_2012_DUBEY_SG3</x:v>
      </x:c>
      <x:c r="B4" s="8" t="str">
        <x:v>PROD_DUBEY_SG3</x:v>
      </x:c>
      <x:c r="C4" s="8" t="n">
        <x:v>0.1</x:v>
      </x:c>
      <x:c r="D4" s="8"/>
      <x:c r="E4" s="8"/>
      <x:c r="F4" s="8" t="str">
        <x:v>370% carbon weight gain</x:v>
      </x:c>
      <x:c r="G4" s="8" t="str">
        <x:v>C_weight-gain (%) = [(w_tot - w_cat) / w_cat] × 100</x:v>
      </x:c>
      <x:c r="H4" s="8" t="str">
        <x:v>reported Eq. (1); w_cat is catalyst before growth and w_tot is catalyst plus carbon after growth</x:v>
      </x:c>
      <x:c r="I4" s="8" t="n">
        <x:v>370</x:v>
      </x:c>
      <x:c r="J4" s="8" t="str">
        <x:v>% carbon weight gain relative to catalyst</x:v>
      </x:c>
      <x:c r="K4" s="8" t="str">
        <x:v>Reported value transcribed without conversion to purified CNT mass.</x:v>
      </x:c>
      <x:c r="L4" s="8"/>
      <x:c r="M4" s="8"/>
      <x:c r="N4" s="8"/>
      <x:c r="O4" s="8"/>
      <x:c r="P4" s="8"/>
      <x:c r="Q4" s="8"/>
      <x:c r="R4" s="8"/>
      <x:c r="S4" s="8" t="str">
        <x:v>t-MWCNT</x:v>
      </x:c>
      <x:c r="T4" s="8" t="str">
        <x:v>t-MWCNT</x:v>
      </x:c>
      <x:c r="U4" s="8" t="str">
        <x:v>no</x:v>
      </x:c>
      <x:c r="V4" s="8" t="str">
        <x:v>no</x:v>
      </x:c>
      <x:c r="W4" s="8" t="str">
        <x:v>yes</x:v>
      </x:c>
      <x:c r="X4" s="8" t="str">
        <x:v>yes</x:v>
      </x:c>
      <x:c r="Y4" s="8" t="str">
        <x:v>TEM/HRTEM shows uniform 4-9 nm tubes with 5-8 graphene walls.</x:v>
      </x:c>
      <x:c r="Z4" s="8" t="str">
        <x:v>HRTEM wall count confirms multi-walled rather than single-walled tubes.</x:v>
      </x:c>
      <x:c r="AA4" s="8"/>
      <x:c r="AB4" s="8" t="n">
        <x:v>7.7</x:v>
      </x:c>
      <x:c r="AC4" s="8" t="str">
        <x:v>4-9</x:v>
      </x:c>
      <x:c r="AD4" s="8"/>
      <x:c r="AE4" s="8" t="str">
        <x:v>5-8 graphene walls</x:v>
      </x:c>
      <x:c r="AF4" s="8"/>
      <x:c r="AG4" s="8" t="str">
        <x:v>not_reported</x:v>
      </x:c>
      <x:c r="AH4" s="8"/>
      <x:c r="AI4" s="8"/>
      <x:c r="AJ4" s="8" t="str">
        <x:v>uniform, entangled t-MWCNTs with clean surfaces</x:v>
      </x:c>
      <x:c r="AK4" s="8"/>
      <x:c r="AL4" s="8"/>
      <x:c r="AM4" s="8" t="n">
        <x:v>3.1</x:v>
      </x:c>
      <x:c r="AN4" s="8" t="n">
        <x:v>514.5</x:v>
      </x:c>
      <x:c r="AO4" s="8" t="n">
        <x:v>82</x:v>
      </x:c>
      <x:c r="AP4" s="8"/>
      <x:c r="AQ4" s="8"/>
      <x:c r="AR4" s="8" t="str">
        <x:v>low by TGA/SEM description</x:v>
      </x:c>
      <x:c r="AS4" s="8"/>
      <x:c r="AT4" s="8"/>
      <x:c r="AU4" s="8"/>
      <x:c r="AV4" s="8"/>
      <x:c r="AW4" s="8"/>
      <x:c r="AX4" s="8" t="str">
        <x:v>SEM; TEM/HRTEM; TGA/DTG; Raman</x:v>
      </x:c>
      <x:c r="AY4" s="8" t="str">
        <x:v>none before SEM/TEM/TGA/Raman characterization</x:v>
      </x:c>
      <x:c r="AZ4" s="8" t="str">
        <x:v>not_applicable for reported as-synthesized characterization</x:v>
      </x:c>
      <x:c r="BA4" s="8"/>
      <x:c r="BB4" s="8" t="str">
        <x:v>Figs. 6e-f, 7e-f, 8, 9; Table 1</x:v>
      </x:c>
      <x:c r="BC4" s="8" t="str">
        <x:v>Table 1 reports 370% weight-gain yield and 82% TGA carbon; HRTEM gives 4-9 nm diameter and 5-8 walls.</x:v>
      </x:c>
      <x:c r="BD4" s="8" t="str">
        <x:v>PDF pp. 4, 6-8; Table 1; Figs. 6-9</x:v>
      </x:c>
      <x:c r="BE4" s="8" t="str">
        <x:v>high</x:v>
      </x:c>
      <x:c r="BF4" s="8" t="str">
        <x:v>Raman_IG_ID is reported; Raman_ID_IG was not reported or calculated. Length and residual metal were not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04bb20111ce442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0" hidden="0" customWidth="1"/>
    <x:col min="19" max="19" width="30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30" hidden="0" customWidth="1"/>
    <x:col min="26" max="26" width="30" hidden="0" customWidth="1"/>
    <x:col min="27" max="27" width="17" hidden="0" customWidth="1"/>
    <x:col min="28" max="28" width="20" hidden="0" customWidth="1"/>
    <x:col min="29" max="29" width="17" hidden="0" customWidth="1"/>
    <x:col min="30" max="30" width="17" hidden="0" customWidth="1"/>
    <x:col min="31" max="31" width="17" hidden="0" customWidth="1"/>
    <x:col min="32" max="32" width="30" hidden="0" customWidth="1"/>
    <x:col min="33" max="33" width="30" hidden="0" customWidth="1"/>
    <x:col min="34" max="34" width="30" hidden="0" customWidth="1"/>
    <x:col min="35" max="35" width="20" hidden="0" customWidth="1"/>
  </x:cols>
  <x:sheetData>
    <x:row r="1" ht="60" customHeight="1">
      <x:c r="A1" s="5" t="str">
        <x:v>run_id</x:v>
      </x:c>
      <x:c r="B1" s="9" t="str">
        <x:v>quantitative_cost_reported</x:v>
      </x:c>
      <x:c r="C1" s="9" t="str">
        <x:v>methane_consumption_per_kg_CNT</x:v>
      </x:c>
      <x:c r="D1" s="9" t="str">
        <x:v>natural_gas_consumption_per_kg_CNT</x:v>
      </x:c>
      <x:c r="E1" s="9" t="str">
        <x:v>H2_consumption_per_kg_CNT</x:v>
      </x:c>
      <x:c r="F1" s="9" t="str">
        <x:v>N2_or_Ar_consumption_per_kg_CNT</x:v>
      </x:c>
      <x:c r="G1" s="9" t="str">
        <x:v>electricity_consumption_per_kg_CNT</x:v>
      </x:c>
      <x:c r="H1" s="9" t="str">
        <x:v>catalyst_cost_signal</x:v>
      </x:c>
      <x:c r="I1" s="9" t="str">
        <x:v>purification_cost_signal</x:v>
      </x:c>
      <x:c r="J1" s="9" t="str">
        <x:v>waste_treatment_signal</x:v>
      </x:c>
      <x:c r="K1" s="9" t="str">
        <x:v>total_variable_cost_per_kg_CNT</x:v>
      </x:c>
      <x:c r="L1" s="9" t="str">
        <x:v>continuous_operation_time_h</x:v>
      </x:c>
      <x:c r="M1" s="9" t="str">
        <x:v>catalyst_reuse_cycles</x:v>
      </x:c>
      <x:c r="N1" s="9" t="str">
        <x:v>batch_success_rate_percent</x:v>
      </x:c>
      <x:c r="O1" s="9" t="str">
        <x:v>batch_stability</x:v>
      </x:c>
      <x:c r="P1" s="9" t="str">
        <x:v>scale_signal_reported</x:v>
      </x:c>
      <x:c r="Q1" s="9" t="str">
        <x:v>scale_level_claimed</x:v>
      </x:c>
      <x:c r="R1" s="9" t="str">
        <x:v>scale_up_issue</x:v>
      </x:c>
      <x:c r="S1" s="9" t="str">
        <x:v>safety_risk</x:v>
      </x:c>
      <x:c r="T1" s="9" t="str">
        <x:v>emission_or_waste</x:v>
      </x:c>
      <x:c r="U1" s="9" t="str">
        <x:v>contains_expensive_metal</x:v>
      </x:c>
      <x:c r="V1" s="9" t="str">
        <x:v>needs_H2</x:v>
      </x:c>
      <x:c r="W1" s="9" t="str">
        <x:v>needs_acid_washing</x:v>
      </x:c>
      <x:c r="X1" s="9" t="str">
        <x:v>major_cost_driver</x:v>
      </x:c>
      <x:c r="Y1" s="9" t="str">
        <x:v>reported_best_condition_summary</x:v>
      </x:c>
      <x:c r="Z1" s="9" t="str">
        <x:v>reviewed_suitable_condition</x:v>
      </x:c>
      <x:c r="AA1" s="5" t="str">
        <x:v>reproduction_value</x:v>
      </x:c>
      <x:c r="AB1" s="5" t="str">
        <x:v>reproduction_priority</x:v>
      </x:c>
      <x:c r="AC1" s="9" t="str">
        <x:v>industrial_value_score</x:v>
      </x:c>
      <x:c r="AD1" s="5" t="str">
        <x:v>recommended_next_action</x:v>
      </x:c>
      <x:c r="AE1" s="5" t="str">
        <x:v>missing_critical_fields</x:v>
      </x:c>
      <x:c r="AF1" s="5" t="str">
        <x:v>review_note</x:v>
      </x:c>
      <x:c r="AG1" s="5" t="str">
        <x:v>evidence_text</x:v>
      </x:c>
      <x:c r="AH1" s="5" t="str">
        <x:v>evidence_location</x:v>
      </x:c>
      <x:c r="AI1" s="5" t="str">
        <x:v>confidence</x:v>
      </x:c>
    </x:row>
    <x:row r="2" ht="72" customHeight="1">
      <x:c r="A2" s="8" t="str">
        <x:v>PAPER_2012_DUBEY_SG1</x:v>
      </x:c>
      <x:c r="B2" s="8" t="str">
        <x:v>no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 t="str">
        <x:v>Authors describe a large-scale reactor (~100 mm i.d.); actual run used 0.1 g catalyst.</x:v>
      </x:c>
      <x:c r="Q2" s="8" t="str">
        <x:v>author_claimed_large_scale; actual_0.1g_lab_batch</x:v>
      </x:c>
      <x:c r="R2" s="8" t="str">
        <x:v>Actual throughput, catalyst lifetime, methane conversion and continuous operation were not reported.</x:v>
      </x:c>
      <x:c r="S2" s="8"/>
      <x:c r="T2" s="8"/>
      <x:c r="U2" s="8" t="str">
        <x:v>Mo present; cost impact not quantified</x:v>
      </x:c>
      <x:c r="V2" s="8" t="str">
        <x:v>yes</x:v>
      </x:c>
      <x:c r="W2" s="8" t="str">
        <x:v>not_reported</x:v>
      </x:c>
      <x:c r="X2" s="8"/>
      <x:c r="Y2" s="8"/>
      <x:c r="Z2" s="8"/>
      <x:c r="AA2" s="8"/>
      <x:c r="AB2" s="8"/>
      <x:c r="AC2" s="8"/>
      <x:c r="AD2" s="8"/>
      <x:c r="AE2" s="8" t="str">
        <x:v>pressure; CH4 conversion; carbon efficiency; catalyst lifetime; continuous operation; actual throughput; purification mass balance; residual metal; quantified Mo cost impact</x:v>
      </x:c>
      <x:c r="AF2" s="8" t="str">
        <x:v>First-round LLM extraction: no industrial score, reproduction ranking or recommendation assigned; pending human review.</x:v>
      </x:c>
      <x:c r="AG2" s="8" t="str">
        <x:v>The reported catalyst is Fe-Mo/MgO, so Mo presence is a reported material fact; the run uses 0.1 g catalyst in a ~100 mm i.d. reactor with CH4/H2 at 900 °C, while cost impact and continuous operation are not quantified.</x:v>
      </x:c>
      <x:c r="AH2" s="8" t="str">
        <x:v>PDF pp. 2, 8; Sections 2.2 and 3.3</x:v>
      </x:c>
      <x:c r="AI2" s="8" t="str">
        <x:v>medium</x:v>
      </x:c>
    </x:row>
    <x:row r="3" ht="72" customHeight="1">
      <x:c r="A3" s="8" t="str">
        <x:v>PAPER_2012_DUBEY_SG2</x:v>
      </x:c>
      <x:c r="B3" s="8" t="str">
        <x:v>no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 t="str">
        <x:v>Authors describe large-scale synthesis and a ~100 mm i.d. reactor; actual run used 0.1 g catalyst.</x:v>
      </x:c>
      <x:c r="Q3" s="8" t="str">
        <x:v>author_claimed_large_scale; actual_0.1g_lab_batch</x:v>
      </x:c>
      <x:c r="R3" s="8" t="str">
        <x:v>Actual throughput, gas utilization, catalyst lifetime, pressure drop and continuous operation were not reported.</x:v>
      </x:c>
      <x:c r="S3" s="8"/>
      <x:c r="T3" s="8"/>
      <x:c r="U3" s="8" t="str">
        <x:v>Mo present; cost impact not quantified</x:v>
      </x:c>
      <x:c r="V3" s="8" t="str">
        <x:v>yes</x:v>
      </x:c>
      <x:c r="W3" s="8" t="str">
        <x:v>not_reported</x:v>
      </x:c>
      <x:c r="X3" s="8"/>
      <x:c r="Y3" s="8"/>
      <x:c r="Z3" s="8"/>
      <x:c r="AA3" s="8"/>
      <x:c r="AB3" s="8"/>
      <x:c r="AC3" s="8"/>
      <x:c r="AD3" s="8"/>
      <x:c r="AE3" s="8" t="str">
        <x:v>pressure; CH4 conversion; carbon efficiency; catalyst lifetime; continuous operation; actual throughput; purification mass balance; residual metal; CNT length; quantified Mo cost impact</x:v>
      </x:c>
      <x:c r="AF3" s="8" t="str">
        <x:v>First-round LLM extraction: no industrial score, reproduction ranking or recommendation assigned; pending human review.</x:v>
      </x:c>
      <x:c r="AG3" s="8" t="str">
        <x:v>The reported catalyst is Fe-Mo/MgO, so Mo presence is a reported material fact; the run uses 0.1 g catalyst in a ~100 mm i.d. reactor with CH4/H2 at 900 °C, while cost impact and continuous operation are not quantified.</x:v>
      </x:c>
      <x:c r="AH3" s="8" t="str">
        <x:v>PDF pp. 2, 8; Sections 2.2 and 3.3</x:v>
      </x:c>
      <x:c r="AI3" s="8" t="str">
        <x:v>medium</x:v>
      </x:c>
    </x:row>
    <x:row r="4" ht="72" customHeight="1">
      <x:c r="A4" s="8" t="str">
        <x:v>PAPER_2012_DUBEY_SG3</x:v>
      </x:c>
      <x:c r="B4" s="8" t="str">
        <x:v>no</x:v>
      </x:c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 t="str">
        <x:v>Authors describe a large-scale reactor (~100 mm i.d.); actual run used 0.1 g catalyst.</x:v>
      </x:c>
      <x:c r="Q4" s="8" t="str">
        <x:v>author_claimed_large_scale; actual_0.1g_lab_batch</x:v>
      </x:c>
      <x:c r="R4" s="8" t="str">
        <x:v>Actual throughput, gas utilization, catalyst lifetime and continuous operation were not reported.</x:v>
      </x:c>
      <x:c r="S4" s="8"/>
      <x:c r="T4" s="8"/>
      <x:c r="U4" s="8" t="str">
        <x:v>Mo present; cost impact not quantified</x:v>
      </x:c>
      <x:c r="V4" s="8" t="str">
        <x:v>yes</x:v>
      </x:c>
      <x:c r="W4" s="8" t="str">
        <x:v>not_reported</x:v>
      </x:c>
      <x:c r="X4" s="8"/>
      <x:c r="Y4" s="8"/>
      <x:c r="Z4" s="8"/>
      <x:c r="AA4" s="8"/>
      <x:c r="AB4" s="8"/>
      <x:c r="AC4" s="8"/>
      <x:c r="AD4" s="8"/>
      <x:c r="AE4" s="8" t="str">
        <x:v>pressure; CH4 conversion; carbon efficiency; catalyst lifetime; continuous operation; actual throughput; purification mass balance; residual metal; CNT length; quantified Mo cost impact</x:v>
      </x:c>
      <x:c r="AF4" s="8" t="str">
        <x:v>First-round LLM extraction: no industrial score, reproduction ranking or recommendation assigned; pending human review.</x:v>
      </x:c>
      <x:c r="AG4" s="8" t="str">
        <x:v>The reported catalyst is Fe-Mo/MgO, so Mo presence is a reported material fact; SG-3 preparation uses H2 at 700 °C and CNT growth uses CH4/H2 at 900 °C, while cost impact and continuous operation are not quantified.</x:v>
      </x:c>
      <x:c r="AH4" s="8" t="str">
        <x:v>PDF pp. 2, 8; Sections 2.1, 2.2 and 3.3</x:v>
      </x:c>
      <x:c r="AI4" s="8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ebc0e8ace93142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17" hidden="0" customWidth="1"/>
    <x:col min="5" max="5" width="17" hidden="0" customWidth="1"/>
    <x:col min="6" max="6" width="28" hidden="0" customWidth="1"/>
    <x:col min="7" max="7" width="46" hidden="0" customWidth="1"/>
  </x:cols>
  <x:sheetData>
    <x:row r="1">
      <x:c r="A1" s="34" t="str">
        <x:v>scope</x:v>
      </x:c>
      <x:c r="B1" s="35" t="str">
        <x:v>field</x:v>
      </x:c>
      <x:c r="C1" s="35" t="str">
        <x:v>value</x:v>
      </x:c>
      <x:c r="D1" s="35" t="str">
        <x:v>value_status</x:v>
      </x:c>
      <x:c r="E1" s="35" t="str">
        <x:v>confidence</x:v>
      </x:c>
      <x:c r="F1" s="35" t="str">
        <x:v>evidence_location</x:v>
      </x:c>
      <x:c r="G1" s="36" t="str">
        <x:v>evidence_summary</x:v>
      </x:c>
    </x:row>
    <x:row r="2" ht="52" customHeight="1">
      <x:c r="A2" s="37" t="str">
        <x:v>source</x:v>
      </x:c>
      <x:c r="B2" s="38" t="str">
        <x:v>title_and_doi</x:v>
      </x:c>
      <x:c r="C2" s="38" t="str">
        <x:v>Synthesis of thin-multiwalled carbon nanotubes by Fe-Mo/MgO catalyst using sol-gel method; DOI 10.5714/CL.2012.13.2.099</x:v>
      </x:c>
      <x:c r="D2" s="38" t="str">
        <x:v>reported</x:v>
      </x:c>
      <x:c r="E2" s="38" t="str">
        <x:v>high</x:v>
      </x:c>
      <x:c r="F2" s="38" t="str">
        <x:v>PDF p. 1</x:v>
      </x:c>
      <x:c r="G2" s="39" t="str">
        <x:v>Title page provides article identity, authors, journal, year and DOI.</x:v>
      </x:c>
    </x:row>
    <x:row r="3" ht="52" customHeight="1">
      <x:c r="A3" s="37" t="str">
        <x:v>all_runs</x:v>
      </x:c>
      <x:c r="B3" s="38" t="str">
        <x:v>catalyst_composition</x:v>
      </x:c>
      <x:c r="C3" s="38" t="str">
        <x:v>Fe:Mo:MgO = 1:1.5:10 molar</x:v>
      </x:c>
      <x:c r="D3" s="38" t="str">
        <x:v>reported</x:v>
      </x:c>
      <x:c r="E3" s="38" t="str">
        <x:v>high</x:v>
      </x:c>
      <x:c r="F3" s="38" t="str">
        <x:v>PDF p. 2, Section 2.1</x:v>
      </x:c>
      <x:c r="G3" s="39" t="str">
        <x:v>The authors identify this composition as the best in their composition study.</x:v>
      </x:c>
    </x:row>
    <x:row r="4" ht="52" customHeight="1">
      <x:c r="A4" s="37" t="str">
        <x:v>SG1_SG2_SG3</x:v>
      </x:c>
      <x:c r="B4" s="38" t="str">
        <x:v>catalyst_particle_evidence</x:v>
      </x:c>
      <x:c r="C4" s="38" t="str">
        <x:v>SG-1 non-uniform/not quantified; SG-2 and SG-3 3-6 nm</x:v>
      </x:c>
      <x:c r="D4" s="38" t="str">
        <x:v>reported</x:v>
      </x:c>
      <x:c r="E4" s="38" t="str">
        <x:v>high</x:v>
      </x:c>
      <x:c r="F4" s="38" t="str">
        <x:v>PDF p. 5, Fig. 3 discussion</x:v>
      </x:c>
      <x:c r="G4" s="39" t="str">
        <x:v>SG-1 has qualitative non-uniform particle evidence without a numeric size; SG-2 and SG-3 particles are explicitly measured at 3-6 nm.</x:v>
      </x:c>
    </x:row>
    <x:row r="5" ht="52" customHeight="1">
      <x:c r="A5" s="37" t="str">
        <x:v>all_runs</x:v>
      </x:c>
      <x:c r="B5" s="38" t="str">
        <x:v>catalyst_preparation</x:v>
      </x:c>
      <x:c r="C5" s="38" t="str">
        <x:v>citrate sol-gel; citric acid ratio 1:1.2; pH about 1; dry 120 °C 5 h</x:v>
      </x:c>
      <x:c r="D5" s="38" t="str">
        <x:v>reported</x:v>
      </x:c>
      <x:c r="E5" s="38" t="str">
        <x:v>high</x:v>
      </x:c>
      <x:c r="F5" s="38" t="str">
        <x:v>PDF pp. 2-3, Sections 2.1 and 3.1</x:v>
      </x:c>
      <x:c r="G5" s="39" t="str">
        <x:v>Preparation and complexing details are explicitly described.</x:v>
      </x:c>
    </x:row>
    <x:row r="6" ht="52" customHeight="1">
      <x:c r="A6" s="37" t="str">
        <x:v>SG1_SG2_SG3</x:v>
      </x:c>
      <x:c r="B6" s="38" t="str">
        <x:v>thermal_decomposition_atmosphere</x:v>
      </x:c>
      <x:c r="C6" s="38" t="str">
        <x:v>air / Ar 500 sccm / H2 500 sccm at 700 °C for 2 h</x:v>
      </x:c>
      <x:c r="D6" s="38" t="str">
        <x:v>reported</x:v>
      </x:c>
      <x:c r="E6" s="38" t="str">
        <x:v>high</x:v>
      </x:c>
      <x:c r="F6" s="38" t="str">
        <x:v>PDF p. 2, Section 2.1</x:v>
      </x:c>
      <x:c r="G6" s="39" t="str">
        <x:v>These three atmospheres define SG-1, SG-2 and SG-3.</x:v>
      </x:c>
    </x:row>
    <x:row r="7" ht="52" customHeight="1">
      <x:c r="A7" s="37" t="str">
        <x:v>all_runs</x:v>
      </x:c>
      <x:c r="B7" s="38" t="str">
        <x:v>growth_program</x:v>
      </x:c>
      <x:c r="C7" s="38" t="str">
        <x:v>0.1 g catalyst; 900 °C; Ar/H2 pretreatment 800/200 sccm for 20 min; Ar/CH4/H2 1000/1000/200 sccm for 30 min</x:v>
      </x:c>
      <x:c r="D7" s="38" t="str">
        <x:v>reported</x:v>
      </x:c>
      <x:c r="E7" s="38" t="str">
        <x:v>high</x:v>
      </x:c>
      <x:c r="F7" s="38" t="str">
        <x:v>PDF p. 2, Section 2.2</x:v>
      </x:c>
      <x:c r="G7" s="39" t="str">
        <x:v>The same methane CCVD program is used for all three catalysts.</x:v>
      </x:c>
    </x:row>
    <x:row r="8" ht="52" customHeight="1">
      <x:c r="A8" s="37" t="str">
        <x:v>SG1</x:v>
      </x:c>
      <x:c r="B8" s="38" t="str">
        <x:v>yield_and_carbon_content</x:v>
      </x:c>
      <x:c r="C8" s="38" t="str">
        <x:v>73% weight gain; 43% TGA carbon</x:v>
      </x:c>
      <x:c r="D8" s="38" t="str">
        <x:v>reported</x:v>
      </x:c>
      <x:c r="E8" s="38" t="str">
        <x:v>high</x:v>
      </x:c>
      <x:c r="F8" s="38" t="str">
        <x:v>PDF p. 4, Table 1</x:v>
      </x:c>
      <x:c r="G8" s="39" t="str">
        <x:v>Table 1 reports the two metrics and their bases.</x:v>
      </x:c>
    </x:row>
    <x:row r="9" ht="52" customHeight="1">
      <x:c r="A9" s="37" t="str">
        <x:v>SG2</x:v>
      </x:c>
      <x:c r="B9" s="38" t="str">
        <x:v>yield_and_carbon_content</x:v>
      </x:c>
      <x:c r="C9" s="38" t="str">
        <x:v>452% weight gain; 85% TGA carbon</x:v>
      </x:c>
      <x:c r="D9" s="38" t="str">
        <x:v>reported</x:v>
      </x:c>
      <x:c r="E9" s="38" t="str">
        <x:v>high</x:v>
      </x:c>
      <x:c r="F9" s="38" t="str">
        <x:v>PDF p. 4, Table 1</x:v>
      </x:c>
      <x:c r="G9" s="39" t="str">
        <x:v>SG-2 has the highest reported product yield.</x:v>
      </x:c>
    </x:row>
    <x:row r="10" ht="52" customHeight="1">
      <x:c r="A10" s="37" t="str">
        <x:v>SG3</x:v>
      </x:c>
      <x:c r="B10" s="38" t="str">
        <x:v>yield_and_carbon_content</x:v>
      </x:c>
      <x:c r="C10" s="38" t="str">
        <x:v>370% weight gain; 82% TGA carbon</x:v>
      </x:c>
      <x:c r="D10" s="38" t="str">
        <x:v>reported</x:v>
      </x:c>
      <x:c r="E10" s="38" t="str">
        <x:v>high</x:v>
      </x:c>
      <x:c r="F10" s="38" t="str">
        <x:v>PDF p. 4, Table 1</x:v>
      </x:c>
      <x:c r="G10" s="39" t="str">
        <x:v>SG-3 is intermediate between SG-1 and SG-2.</x:v>
      </x:c>
    </x:row>
    <x:row r="11" ht="52" customHeight="1">
      <x:c r="A11" s="37" t="str">
        <x:v>SG1</x:v>
      </x:c>
      <x:c r="B11" s="38" t="str">
        <x:v>CNT_type</x:v>
      </x:c>
      <x:c r="C11" s="38" t="str">
        <x:v>mixed t-MWCNT/MWCNT/carbon fiber</x:v>
      </x:c>
      <x:c r="D11" s="38" t="str">
        <x:v>reported</x:v>
      </x:c>
      <x:c r="E11" s="38" t="str">
        <x:v>high</x:v>
      </x:c>
      <x:c r="F11" s="38" t="str">
        <x:v>PDF pp. 6-7, Figs. 6a-b and 7a-b</x:v>
      </x:c>
      <x:c r="G11" s="39" t="str">
        <x:v>SEM and TEM show a non-uniform mixed product.</x:v>
      </x:c>
    </x:row>
    <x:row r="12" ht="52" customHeight="1">
      <x:c r="A12" s="37" t="str">
        <x:v>SG2</x:v>
      </x:c>
      <x:c r="B12" s="38" t="str">
        <x:v>diameter_and_walls</x:v>
      </x:c>
      <x:c r="C12" s="38" t="str">
        <x:v>4-8 nm; mean 6.6 ± 0.1 nm; 4-7 walls</x:v>
      </x:c>
      <x:c r="D12" s="38" t="str">
        <x:v>reported</x:v>
      </x:c>
      <x:c r="E12" s="38" t="str">
        <x:v>high</x:v>
      </x:c>
      <x:c r="F12" s="38" t="str">
        <x:v>PDF pp. 7-8, Figs. 7c-d</x:v>
      </x:c>
      <x:c r="G12" s="39" t="str">
        <x:v>More than 95% of measured tubes fall in the reported range.</x:v>
      </x:c>
    </x:row>
    <x:row r="13" ht="52" customHeight="1">
      <x:c r="A13" s="37" t="str">
        <x:v>SG3</x:v>
      </x:c>
      <x:c r="B13" s="38" t="str">
        <x:v>diameter_and_walls</x:v>
      </x:c>
      <x:c r="C13" s="38" t="str">
        <x:v>4-9 nm; mean 7.7 ± 0.1 nm; 5-8 walls</x:v>
      </x:c>
      <x:c r="D13" s="38" t="str">
        <x:v>reported</x:v>
      </x:c>
      <x:c r="E13" s="38" t="str">
        <x:v>high</x:v>
      </x:c>
      <x:c r="F13" s="38" t="str">
        <x:v>PDF pp. 7-8, Figs. 7e-f</x:v>
      </x:c>
      <x:c r="G13" s="39" t="str">
        <x:v>HRTEM supports a uniform t-MWCNT assignment.</x:v>
      </x:c>
    </x:row>
    <x:row r="14" ht="52" customHeight="1">
      <x:c r="A14" s="37" t="str">
        <x:v>SG1_SG2_SG3</x:v>
      </x:c>
      <x:c r="B14" s="38" t="str">
        <x:v>Raman_IG_ID</x:v>
      </x:c>
      <x:c r="C14" s="38" t="str">
        <x:v>3.6 / 4.7 / 3.1</x:v>
      </x:c>
      <x:c r="D14" s="38" t="str">
        <x:v>reported</x:v>
      </x:c>
      <x:c r="E14" s="38" t="str">
        <x:v>high</x:v>
      </x:c>
      <x:c r="F14" s="38" t="str">
        <x:v>PDF p. 8, Fig. 9</x:v>
      </x:c>
      <x:c r="G14" s="39" t="str">
        <x:v>Figure labels report IG/ID for each catalyst product.</x:v>
      </x:c>
    </x:row>
    <x:row r="15" ht="52" customHeight="1">
      <x:c r="A15" s="40" t="str">
        <x:v>all_runs</x:v>
      </x:c>
      <x:c r="B15" s="41" t="str">
        <x:v>purification</x:v>
      </x:c>
      <x:c r="C15" s="41" t="str">
        <x:v>none before characterization</x:v>
      </x:c>
      <x:c r="D15" s="41" t="str">
        <x:v>reported</x:v>
      </x:c>
      <x:c r="E15" s="41" t="str">
        <x:v>high</x:v>
      </x:c>
      <x:c r="F15" s="41" t="str">
        <x:v>PDF p. 6, Section 3.3</x:v>
      </x:c>
      <x:c r="G15" s="42" t="str">
        <x:v>The paper explicitly notes that microscopy was performed without purification.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3bf2695bf21b41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58" hidden="0" customWidth="1"/>
    <x:col min="8" max="8" width="28" hidden="0" customWidth="1"/>
    <x:col min="9" max="9" width="34" hidden="0" customWidth="1"/>
    <x:col min="10" max="10" width="48" hidden="0" customWidth="1"/>
    <x:col min="11" max="11" width="20" hidden="0" customWidth="1"/>
    <x:col min="12" max="12" width="20" hidden="0" customWidth="1"/>
  </x:cols>
  <x:sheetData>
    <x:row r="1">
      <x:c r="A1" s="31" t="str">
        <x:v>category</x:v>
      </x:c>
      <x:c r="B1" s="31" t="str">
        <x:v>observation_id</x:v>
      </x:c>
      <x:c r="C1" s="31" t="str">
        <x:v>source_id</x:v>
      </x:c>
      <x:c r="D1" s="31" t="str">
        <x:v>related_run_id</x:v>
      </x:c>
      <x:c r="E1" s="31" t="str">
        <x:v>observation_type</x:v>
      </x:c>
      <x:c r="F1" s="31" t="str">
        <x:v>topic_tags</x:v>
      </x:c>
      <x:c r="G1" s="31" t="str">
        <x:v>value_summary</x:v>
      </x:c>
      <x:c r="H1" s="31" t="str">
        <x:v>original_text</x:v>
      </x:c>
      <x:c r="I1" s="31" t="str">
        <x:v>evidence_location</x:v>
      </x:c>
      <x:c r="J1" s="31" t="str">
        <x:v>why_valuable</x:v>
      </x:c>
      <x:c r="K1" s="31" t="str">
        <x:v>confidence</x:v>
      </x:c>
      <x:c r="L1" s="31" t="str">
        <x:v>promotion_decision</x:v>
      </x:c>
    </x:row>
    <x:row r="2" ht="64" customHeight="1">
      <x:c r="A2" s="33" t="str">
        <x:v>warning</x:v>
      </x:c>
      <x:c r="B2" s="33" t="str">
        <x:v>OBS_DUBEY_2012_011</x:v>
      </x:c>
      <x:c r="C2" s="33" t="str">
        <x:v>P001_Dubey_2012_FeMo_MgO_tMWCNT</x:v>
      </x:c>
      <x:c r="D2" s="33"/>
      <x:c r="E2" s="33" t="str">
        <x:v>data_gap</x:v>
      </x:c>
      <x:c r="F2" s="33" t="str">
        <x:v>temperature_window; growth_temperature; single_temperature</x:v>
      </x:c>
      <x:c r="G2" s="33" t="str">
        <x:v>仅报告 900 °C 生长条件，不能据此建立温度窗口或作者最优温度。</x:v>
      </x:c>
      <x:c r="H2" s="33" t="str">
        <x:v>reaction temperature (900°C)</x:v>
      </x:c>
      <x:c r="I2" s="33" t="str">
        <x:v>PDF p. 2, Section 2.2</x:v>
      </x:c>
      <x:c r="J2" s="33" t="str">
        <x:v>避免把单一生长温度误解为适用温区或最优条件。</x:v>
      </x:c>
      <x:c r="K2" s="33" t="str">
        <x:v>high</x:v>
      </x:c>
      <x:c r="L2" s="33" t="str">
        <x:v>not_promoted_yet</x:v>
      </x:c>
    </x:row>
    <x:row r="3" ht="64" customHeight="1">
      <x:c r="A3" s="33" t="str">
        <x:v>warning</x:v>
      </x:c>
      <x:c r="B3" s="33" t="str">
        <x:v>OBS_DUBEY_2012_012</x:v>
      </x:c>
      <x:c r="C3" s="33" t="str">
        <x:v>P001_Dubey_2012_FeMo_MgO_tMWCNT</x:v>
      </x:c>
      <x:c r="D3" s="33"/>
      <x:c r="E3" s="33" t="str">
        <x:v>quality_warning</x:v>
      </x:c>
      <x:c r="F3" s="33" t="str">
        <x:v>TGA_carbon; purity_definition; as_synthesized_product</x:v>
      </x:c>
      <x:c r="G3" s="33" t="str">
        <x:v>Table 1 的 purity/carbon yield 来自 TGA 碳含量，不等同于应用级纯化产品纯度。</x:v>
      </x:c>
      <x:c r="H3" s="33" t="str">
        <x:v>Carbon % yield @TGA</x:v>
      </x:c>
      <x:c r="I3" s="33" t="str">
        <x:v>PDF p. 4, Table 1; PDF p. 8, Fig. 8 discussion</x:v>
      </x:c>
      <x:c r="J3" s="33" t="str">
        <x:v>防止把不同定义的纯度或碳含量指标直接比较。</x:v>
      </x:c>
      <x:c r="K3" s="33" t="str">
        <x:v>high</x:v>
      </x:c>
      <x:c r="L3" s="33" t="str">
        <x:v>not_promoted_yet</x:v>
      </x:c>
    </x:row>
    <x:row r="4" ht="64" customHeight="1">
      <x:c r="A4" s="33" t="str">
        <x:v>warning</x:v>
      </x:c>
      <x:c r="B4" s="33" t="str">
        <x:v>OBS_DUBEY_2012_013</x:v>
      </x:c>
      <x:c r="C4" s="33" t="str">
        <x:v>P001_Dubey_2012_FeMo_MgO_tMWCNT</x:v>
      </x:c>
      <x:c r="D4" s="33"/>
      <x:c r="E4" s="33" t="str">
        <x:v>data_gap</x:v>
      </x:c>
      <x:c r="F4" s="33" t="str">
        <x:v>CNT_length; residual_metal; missing_characterization</x:v>
      </x:c>
      <x:c r="G4" s="33" t="str">
        <x:v>CNT 长度和残留金属未单独定量。</x:v>
      </x:c>
      <x:c r="H4" s="33"/>
      <x:c r="I4" s="33" t="str">
        <x:v>PDF pp. 6-8, Section 3.3 and characterization discussion</x:v>
      </x:c>
      <x:c r="J4" s="33" t="str">
        <x:v>这两项缺口会限制形貌比较、纯化负担判断和下游适用性评估。</x:v>
      </x:c>
      <x:c r="K4" s="33" t="str">
        <x:v>high</x:v>
      </x:c>
      <x:c r="L4" s="33" t="str">
        <x:v>not_promoted_yet</x:v>
      </x:c>
    </x:row>
    <x:row r="5" ht="64" customHeight="1">
      <x:c r="A5" s="33" t="str">
        <x:v>warning</x:v>
      </x:c>
      <x:c r="B5" s="33" t="str">
        <x:v>OBS_DUBEY_2012_014</x:v>
      </x:c>
      <x:c r="C5" s="33" t="str">
        <x:v>P001_Dubey_2012_FeMo_MgO_tMWCNT</x:v>
      </x:c>
      <x:c r="D5" s="33"/>
      <x:c r="E5" s="33" t="str">
        <x:v>data_gap</x:v>
      </x:c>
      <x:c r="F5" s="33" t="str">
        <x:v>pressure; CH4_conversion; carbon_efficiency; catalyst_lifetime; continuous_operation</x:v>
      </x:c>
      <x:c r="G5" s="33" t="str">
        <x:v>压力、甲烷转化率、碳效率、催化剂寿命和连续运行时间未报告。</x:v>
      </x:c>
      <x:c r="H5" s="33"/>
      <x:c r="I5" s="33" t="str">
        <x:v>PDF p. 2, Section 2.2; PDF pp. 8-9, discussion and conclusions</x:v>
      </x:c>
      <x:c r="J5" s="33" t="str">
        <x:v>这些缺失项直接限制物料效率、催化剂稳定性和连续化可行性判断。</x:v>
      </x:c>
      <x:c r="K5" s="33" t="str">
        <x:v>high</x:v>
      </x:c>
      <x:c r="L5" s="33" t="str">
        <x:v>not_promoted_yet</x:v>
      </x:c>
    </x:row>
    <x:row r="6" ht="64" customHeight="1">
      <x:c r="A6" s="33" t="str">
        <x:v>warning</x:v>
      </x:c>
      <x:c r="B6" s="33" t="str">
        <x:v>OBS_DUBEY_2012_015</x:v>
      </x:c>
      <x:c r="C6" s="33" t="str">
        <x:v>P001_Dubey_2012_FeMo_MgO_tMWCNT</x:v>
      </x:c>
      <x:c r="D6" s="33"/>
      <x:c r="E6" s="33" t="str">
        <x:v>scale_up_signal</x:v>
      </x:c>
      <x:c r="F6" s="33" t="str">
        <x:v>author_scale_claim; actual_loading; reactor_diameter; scale_caveat</x:v>
      </x:c>
      <x:c r="G6" s="33" t="str">
        <x:v>作者使用 large-scale 表述，但实际实验催化剂装填量为 0.1 g，不能据此确认工业规模。</x:v>
      </x:c>
      <x:c r="H6" s="33" t="str">
        <x:v>large-scale reactor (reactor i.d. ~100 mm)</x:v>
      </x:c>
      <x:c r="I6" s="33" t="str">
        <x:v>PDF p. 2, Section 2.2; PDF p. 8, Section 3.3</x:v>
      </x:c>
      <x:c r="J6" s="33" t="str">
        <x:v>保留作者放大表述，同时防止大直径实验管被误判为工业产能证据。</x:v>
      </x:c>
      <x:c r="K6" s="33" t="str">
        <x:v>high</x:v>
      </x:c>
      <x:c r="L6" s="33" t="str">
        <x:v>not_promoted_yet</x:v>
      </x:c>
    </x:row>
    <x:row r="7" ht="64" customHeight="1">
      <x:c r="A7" s="33" t="str">
        <x:v>source_level_observation</x:v>
      </x:c>
      <x:c r="B7" s="33" t="str">
        <x:v>OBS_DUBEY_2012_001</x:v>
      </x:c>
      <x:c r="C7" s="33" t="str">
        <x:v>P001_Dubey_2012_FeMo_MgO_tMWCNT</x:v>
      </x:c>
      <x:c r="D7" s="33"/>
      <x:c r="E7" s="33" t="str">
        <x:v>data_gap</x:v>
      </x:c>
      <x:c r="F7" s="33" t="str">
        <x:v>temperature_window; growth_temperature</x:v>
      </x:c>
      <x:c r="G7" s="33" t="str">
        <x:v>The comparison changes catalyst precursor decomposition atmosphere, not CNT growth temperature. Only 900 °C growth was reported, so no growth-temperature window or temperature effect can be assigned.</x:v>
      </x:c>
      <x:c r="H7" s="33" t="str">
        <x:v>reaction temperature (900°C)</x:v>
      </x:c>
      <x:c r="I7" s="33" t="str">
        <x:v>PDF p. 2, Sections 2.1-2.2</x:v>
      </x:c>
      <x:c r="J7" s="33" t="str">
        <x:v>Prevents the three catalyst-preparation conditions from being misread as a CNT growth-temperature study.</x:v>
      </x:c>
      <x:c r="K7" s="33" t="str">
        <x:v>high</x:v>
      </x:c>
      <x:c r="L7" s="33" t="str">
        <x:v>not_promoted_yet</x:v>
      </x:c>
    </x:row>
    <x:row r="8" ht="64" customHeight="1">
      <x:c r="A8" s="33" t="str">
        <x:v>source_level_observation</x:v>
      </x:c>
      <x:c r="B8" s="33" t="str">
        <x:v>OBS_DUBEY_2012_002</x:v>
      </x:c>
      <x:c r="C8" s="33" t="str">
        <x:v>P001_Dubey_2012_FeMo_MgO_tMWCNT</x:v>
      </x:c>
      <x:c r="D8" s="33"/>
      <x:c r="E8" s="33" t="str">
        <x:v>catalyst_preparation_hint</x:v>
      </x:c>
      <x:c r="F8" s="33" t="str">
        <x:v>thermal_decomposition_atmosphere; Fe-Mo_dispersion; particle_size</x:v>
      </x:c>
      <x:c r="G8" s="33" t="str">
        <x:v>Ar and H2 decomposition produced better-dispersed 3-6 nm Fe-Mo clusters than air decomposition; the paper links this preparation difference with higher yield and more homogeneous t-MWCNT products.</x:v>
      </x:c>
      <x:c r="H8" s="33" t="str">
        <x:v>The size of the dark spots was measured and found to be in the range of 3-6 nm</x:v>
      </x:c>
      <x:c r="I8" s="33" t="str">
        <x:v>PDF pp. 4-5 and 8; Table 1; Figs. 2-4; Conclusions</x:v>
      </x:c>
      <x:c r="J8" s="33" t="str">
        <x:v>Provides a directly testable catalyst-preparation variable without adding a new main-table field.</x:v>
      </x:c>
      <x:c r="K8" s="33" t="str">
        <x:v>high</x:v>
      </x:c>
      <x:c r="L8" s="33" t="str">
        <x:v>not_promoted_yet</x:v>
      </x:c>
    </x:row>
    <x:row r="9" ht="64" customHeight="1">
      <x:c r="A9" s="33" t="str">
        <x:v>source_level_observation</x:v>
      </x:c>
      <x:c r="B9" s="33" t="str">
        <x:v>OBS_DUBEY_2012_003</x:v>
      </x:c>
      <x:c r="C9" s="33" t="str">
        <x:v>P001_Dubey_2012_FeMo_MgO_tMWCNT</x:v>
      </x:c>
      <x:c r="D9" s="33" t="str">
        <x:v>PAPER_2012_DUBEY_SG1</x:v>
      </x:c>
      <x:c r="E9" s="33" t="str">
        <x:v>failure_mode</x:v>
      </x:c>
      <x:c r="F9" s="33" t="str">
        <x:v>air_decomposition; phase_separation; agglomeration; mixed_product</x:v>
      </x:c>
      <x:c r="G9" s="33" t="str">
        <x:v>Air-decomposed SG-1 showed phase separation, particle agglomeration, low BET area, 73% weight-gain yield, 43% TGA carbon, and a mixed t-MWCNT/MWCNT/carbon-fiber product.</x:v>
      </x:c>
      <x:c r="H9" s="33" t="str">
        <x:v>non-uniform distribution of catalyst particles</x:v>
      </x:c>
      <x:c r="I9" s="33" t="str">
        <x:v>PDF pp. 4-8; Table 1; Figs. 1-3 and 6-9</x:v>
      </x:c>
      <x:c r="J9" s="33" t="str">
        <x:v>Preserves a negative comparison that can guide catalyst-preparation screening.</x:v>
      </x:c>
      <x:c r="K9" s="33" t="str">
        <x:v>high</x:v>
      </x:c>
      <x:c r="L9" s="33" t="str">
        <x:v>not_promoted_yet</x:v>
      </x:c>
    </x:row>
    <x:row r="10" ht="64" customHeight="1">
      <x:c r="A10" s="33" t="str">
        <x:v>source_level_observation</x:v>
      </x:c>
      <x:c r="B10" s="33" t="str">
        <x:v>OBS_DUBEY_2012_004</x:v>
      </x:c>
      <x:c r="C10" s="33" t="str">
        <x:v>P001_Dubey_2012_FeMo_MgO_tMWCNT</x:v>
      </x:c>
      <x:c r="D10" s="33"/>
      <x:c r="E10" s="33" t="str">
        <x:v>mechanism</x:v>
      </x:c>
      <x:c r="F10" s="33" t="str">
        <x:v>Mo_shielding; Fe_agglomeration; methane_aromatization</x:v>
      </x:c>
      <x:c r="G10" s="33" t="str">
        <x:v>The authors propose that high Mo content shields Fe nanoparticles against agglomeration and promotes methane aromatization; the paper does not provide a lower-Mo run series that isolates the effect.</x:v>
      </x:c>
      <x:c r="H10" s="33" t="str">
        <x:v>Mo provides a shielding effect for the Fe nanoparticles</x:v>
      </x:c>
      <x:c r="I10" s="33" t="str">
        <x:v>PDF pp. 5, 7-8; Sections 3.2-3.3; Conclusions</x:v>
      </x:c>
      <x:c r="J10" s="33" t="str">
        <x:v>Captures the proposed role of Mo while clearly retaining its hypothesis status.</x:v>
      </x:c>
      <x:c r="K10" s="33" t="str">
        <x:v>medium</x:v>
      </x:c>
      <x:c r="L10" s="33" t="str">
        <x:v>not_promoted_yet</x:v>
      </x:c>
    </x:row>
    <x:row r="11" ht="64" customHeight="1">
      <x:c r="A11" s="33" t="str">
        <x:v>source_level_observation</x:v>
      </x:c>
      <x:c r="B11" s="33" t="str">
        <x:v>OBS_DUBEY_2012_005</x:v>
      </x:c>
      <x:c r="C11" s="33" t="str">
        <x:v>P001_Dubey_2012_FeMo_MgO_tMWCNT</x:v>
      </x:c>
      <x:c r="D11" s="33"/>
      <x:c r="E11" s="33" t="str">
        <x:v>scale_up_signal</x:v>
      </x:c>
      <x:c r="F11" s="33" t="str">
        <x:v>sol-gel; kilogram_scale_claim; reactor_scale; throughput_gap</x:v>
      </x:c>
      <x:c r="G11" s="33" t="str">
        <x:v>The source describes sol-gel preparation as suitable for kilogram-level scale-up and uses large-scale wording for a reactor of about 100 mm inner diameter, while each reported CNT run loads only 0.1 g catalyst.</x:v>
      </x:c>
      <x:c r="H11" s="33" t="str">
        <x:v>suitable for scale-up to the kilogram level</x:v>
      </x:c>
      <x:c r="I11" s="33" t="str">
        <x:v>PDF pp. 2 and 8; Introduction; Sections 2.2 and 3.3</x:v>
      </x:c>
      <x:c r="J11" s="33" t="str">
        <x:v>Retains the scale-up claim together with the experimental-load caveat for later industrial review.</x:v>
      </x:c>
      <x:c r="K11" s="33" t="str">
        <x:v>medium</x:v>
      </x:c>
      <x:c r="L11" s="33" t="str">
        <x:v>not_promoted_yet</x:v>
      </x:c>
    </x:row>
    <x:row r="12" ht="64" customHeight="1">
      <x:c r="A12" s="33" t="str">
        <x:v>source_level_observation</x:v>
      </x:c>
      <x:c r="B12" s="33" t="str">
        <x:v>OBS_DUBEY_2012_006</x:v>
      </x:c>
      <x:c r="C12" s="33" t="str">
        <x:v>P001_Dubey_2012_FeMo_MgO_tMWCNT</x:v>
      </x:c>
      <x:c r="D12" s="33"/>
      <x:c r="E12" s="33" t="str">
        <x:v>safety_environment</x:v>
      </x:c>
      <x:c r="F12" s="33" t="str">
        <x:v>CH4; H2; high_temperature; safety_gap</x:v>
      </x:c>
      <x:c r="G12" s="33" t="str">
        <x:v>The process uses CH4/H2 at 900 °C; SG-3 catalyst preparation additionally uses H2 at 700 °C. The paper gives the gas program but no process-safety assessment.</x:v>
      </x:c>
      <x:c r="H12" s="33" t="str">
        <x:v>Ar/CH4/H2 (1000/1000/200 sccm)</x:v>
      </x:c>
      <x:c r="I12" s="33" t="str">
        <x:v>PDF p. 2, Sections 2.1-2.2</x:v>
      </x:c>
      <x:c r="J12" s="33" t="str">
        <x:v>Flags high-temperature flammable-gas handling for later scale-up review without assigning an unsupported risk score.</x:v>
      </x:c>
      <x:c r="K12" s="33" t="str">
        <x:v>medium</x:v>
      </x:c>
      <x:c r="L12" s="33" t="str">
        <x:v>not_promoted_yet</x:v>
      </x:c>
    </x:row>
    <x:row r="13" ht="64" customHeight="1">
      <x:c r="A13" s="33" t="str">
        <x:v>source_level_observation</x:v>
      </x:c>
      <x:c r="B13" s="33" t="str">
        <x:v>OBS_DUBEY_2012_007</x:v>
      </x:c>
      <x:c r="C13" s="33" t="str">
        <x:v>P001_Dubey_2012_FeMo_MgO_tMWCNT</x:v>
      </x:c>
      <x:c r="D13" s="33"/>
      <x:c r="E13" s="33" t="str">
        <x:v>quality_warning</x:v>
      </x:c>
      <x:c r="F13" s="33" t="str">
        <x:v>TGA_carbon; purity_definition; residual_metal</x:v>
      </x:c>
      <x:c r="G13" s="33" t="str">
        <x:v>The reported 43%, 85% and 82% values are TGA carbon contents of as-synthesized products, not purified application-grade CNT purity or separately measured residual-metal content.</x:v>
      </x:c>
      <x:c r="H13" s="33" t="str">
        <x:v>Carbon % yield @TGA</x:v>
      </x:c>
      <x:c r="I13" s="33" t="str">
        <x:v>PDF pp. 4 and 8; Table 1; Fig. 8</x:v>
      </x:c>
      <x:c r="J13" s="33" t="str">
        <x:v>Prevents incompatible purity metrics from being compared as equivalent values.</x:v>
      </x:c>
      <x:c r="K13" s="33" t="str">
        <x:v>high</x:v>
      </x:c>
      <x:c r="L13" s="33" t="str">
        <x:v>not_promoted_yet</x:v>
      </x:c>
    </x:row>
    <x:row r="14" ht="64" customHeight="1">
      <x:c r="A14" s="33" t="str">
        <x:v>source_level_observation</x:v>
      </x:c>
      <x:c r="B14" s="33" t="str">
        <x:v>OBS_DUBEY_2012_010</x:v>
      </x:c>
      <x:c r="C14" s="33" t="str">
        <x:v>P001_Dubey_2012_FeMo_MgO_tMWCNT</x:v>
      </x:c>
      <x:c r="D14" s="33"/>
      <x:c r="E14" s="33" t="str">
        <x:v>catalyst_preparation_hint</x:v>
      </x:c>
      <x:c r="F14" s="33" t="str">
        <x:v>high_Mo; yield; t-MWCNT_uniformity; composition_series_gap</x:v>
      </x:c>
      <x:c r="G14" s="33" t="str">
        <x:v>The authors associate the high-Mo Fe:Mo ratio of 1:1.5 with increased carbon yield and more uniform t-MWCNTs, but this paper does not present a controlled lower-Mo composition series.</x:v>
      </x:c>
      <x:c r="H14" s="33" t="str">
        <x:v>the higher Mo content for the Fe-Mo/MgO catalyst induced a higher product yield</x:v>
      </x:c>
      <x:c r="I14" s="33" t="str">
        <x:v>PDF pp. 7-8; Section 3.3; Conclusions</x:v>
      </x:c>
      <x:c r="J14" s="33" t="str">
        <x:v>Preserves a catalyst-composition hypothesis suitable for future controlled experiments.</x:v>
      </x:c>
      <x:c r="K14" s="33" t="str">
        <x:v>medium</x:v>
      </x:c>
      <x:c r="L14" s="33" t="str">
        <x:v>not_promoted_yet</x:v>
      </x:c>
    </x:row>
    <x:row r="15" ht="64" customHeight="1">
      <x:c r="A15" s="33" t="str">
        <x:v>valuable_unmapped_information</x:v>
      </x:c>
      <x:c r="B15" s="33" t="str">
        <x:v>OBS_DUBEY_2012_008</x:v>
      </x:c>
      <x:c r="C15" s="33" t="str">
        <x:v>P001_Dubey_2012_FeMo_MgO_tMWCNT</x:v>
      </x:c>
      <x:c r="D15" s="33"/>
      <x:c r="E15" s="33" t="str">
        <x:v>other</x:v>
      </x:c>
      <x:c r="F15" s="33" t="str">
        <x:v>TEM-EDS; localized_composition; bulk_composition_caveat</x:v>
      </x:c>
      <x:c r="G15" s="33" t="str">
        <x:v>TEM-EDS spot atomic ratios differ from the nominal bulk Fe:Mo ratio; they are localized particle measurements and were not promoted to bulk composition fields.</x:v>
      </x:c>
      <x:c r="H15" s="33" t="str">
        <x:v>at% Fe:Mo ~ 3.1:10.5</x:v>
      </x:c>
      <x:c r="I15" s="33" t="str">
        <x:v>PDF p. 5, Fig. 3 discussion</x:v>
      </x:c>
      <x:c r="J15" s="33" t="str">
        <x:v>Retains potentially useful particle-level chemistry without mislabeling it as bulk catalyst composition.</x:v>
      </x:c>
      <x:c r="K15" s="33" t="str">
        <x:v>high</x:v>
      </x:c>
      <x:c r="L15" s="33" t="str">
        <x:v>not_promoted_yet</x:v>
      </x:c>
    </x:row>
    <x:row r="16" ht="64" customHeight="1">
      <x:c r="A16" s="33" t="str">
        <x:v>valuable_unmapped_information</x:v>
      </x:c>
      <x:c r="B16" s="33" t="str">
        <x:v>OBS_DUBEY_2012_009</x:v>
      </x:c>
      <x:c r="C16" s="33" t="str">
        <x:v>P001_Dubey_2012_FeMo_MgO_tMWCNT</x:v>
      </x:c>
      <x:c r="D16" s="33"/>
      <x:c r="E16" s="33" t="str">
        <x:v>mechanism</x:v>
      </x:c>
      <x:c r="F16" s="33" t="str">
        <x:v>XPS; Mo_oxidation_state; Fe-Mo_interaction</x:v>
      </x:c>
      <x:c r="G16" s="33" t="str">
        <x:v>XPS binding-energy shifts and Mo oxidation-state assignments provide mechanistic context for atmosphere-dependent Fe-Mo interaction, but are not expanded into new v0.1 main-table fields.</x:v>
      </x:c>
      <x:c r="H16" s="33" t="str">
        <x:v>Mo has a strong interaction with Fe</x:v>
      </x:c>
      <x:c r="I16" s="33" t="str">
        <x:v>PDF pp. 5-6, Figs. 4-5</x:v>
      </x:c>
      <x:c r="J16" s="33" t="str">
        <x:v>Preserves mechanistic characterization for later cross-source comparison while keeping the main schema stable.</x:v>
      </x:c>
      <x:c r="K16" s="33" t="str">
        <x:v>high</x:v>
      </x:c>
      <x:c r="L16" s="33" t="str">
        <x:v>not_promoted_yet</x:v>
      </x:c>
    </x:row>
  </x:sheetData>
  <x:pageMargins left="0.7" right="0.7" top="0.75" bottom="0.75" header="0.3" footer="0.3"/>
  <x:tableParts count="1">
    <x:tablePart xmlns:r="http://schemas.openxmlformats.org/officeDocument/2006/relationships" r:id="R948b6d0e304a43af"/>
  </x:tableParts>
</x:worksheet>
</file>